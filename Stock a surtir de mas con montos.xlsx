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verisgroup-my.sharepoint.com/personal/cleconac_emeal_nttdata_com/Documents/Documents/MeetFashion/"/>
    </mc:Choice>
  </mc:AlternateContent>
  <xr:revisionPtr revIDLastSave="112" documentId="8_{3E30EC32-F569-4847-9EC4-D4E66A269DC6}" xr6:coauthVersionLast="47" xr6:coauthVersionMax="47" xr10:uidLastSave="{E6C35BC2-CEFA-41C7-9EA3-E94992787252}"/>
  <bookViews>
    <workbookView xWindow="-108" yWindow="-108" windowWidth="23256" windowHeight="12456" xr2:uid="{565DDB32-577F-48E4-9C82-2129E9E366B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85" i="1" l="1"/>
  <c r="K161" i="1"/>
  <c r="K138" i="1"/>
  <c r="K115" i="1"/>
  <c r="K92" i="1"/>
  <c r="K69" i="1"/>
  <c r="K46" i="1"/>
  <c r="K23" i="1"/>
  <c r="M2" i="1" l="1"/>
</calcChain>
</file>

<file path=xl/sharedStrings.xml><?xml version="1.0" encoding="utf-8"?>
<sst xmlns="http://schemas.openxmlformats.org/spreadsheetml/2006/main" count="528" uniqueCount="246">
  <si>
    <t>Producto</t>
  </si>
  <si>
    <t>Cant. Lun Actual</t>
  </si>
  <si>
    <t>Cant. Vie Actual</t>
  </si>
  <si>
    <t>Venta Real (4 días)</t>
  </si>
  <si>
    <t>Venta Diaria Prom.</t>
  </si>
  <si>
    <t>Stock Fin de Semana</t>
  </si>
  <si>
    <t>Stock Óptimo Inicial (Lunes)</t>
  </si>
  <si>
    <t>Pedido Sugerido</t>
  </si>
  <si>
    <t>Gorras</t>
  </si>
  <si>
    <t>Pecheras</t>
  </si>
  <si>
    <t>Bolsas dama chica</t>
  </si>
  <si>
    <t>Loncheras</t>
  </si>
  <si>
    <t>Cosmetiquera rectangular</t>
  </si>
  <si>
    <t>Cosmetiquera victoria secret</t>
  </si>
  <si>
    <t>Cartera grande</t>
  </si>
  <si>
    <t>Cartera chica</t>
  </si>
  <si>
    <t>⭐ Coordinados</t>
  </si>
  <si>
    <t>⭐ Top</t>
  </si>
  <si>
    <t>⭐ Brasier</t>
  </si>
  <si>
    <t>⭐ Boxer</t>
  </si>
  <si>
    <t>⭐ Tines</t>
  </si>
  <si>
    <t>⭐ Protector de pie</t>
  </si>
  <si>
    <t>⭐ Pinzas cabello</t>
  </si>
  <si>
    <t>Espejo chico</t>
  </si>
  <si>
    <t>Espejo rectangular</t>
  </si>
  <si>
    <t>Espejo con aumento</t>
  </si>
  <si>
    <t>Kit manicura</t>
  </si>
  <si>
    <t>Tijeritas</t>
  </si>
  <si>
    <t>Quita cuticula</t>
  </si>
  <si>
    <t>Alicata</t>
  </si>
  <si>
    <t>Corta uñas grande</t>
  </si>
  <si>
    <t>Corta uñas chico</t>
  </si>
  <si>
    <t>Kola loka</t>
  </si>
  <si>
    <t>Lima talon</t>
  </si>
  <si>
    <t>Cepillo uñas</t>
  </si>
  <si>
    <t>Pegamento uñas</t>
  </si>
  <si>
    <t>Acetona pura</t>
  </si>
  <si>
    <t>Removedor de acrílico</t>
  </si>
  <si>
    <t>⭐ Barniz grande saniye</t>
  </si>
  <si>
    <t>⭐ Barniz chico saniye</t>
  </si>
  <si>
    <t>⭐ Barniz gelish</t>
  </si>
  <si>
    <t>Tratamiento uñas</t>
  </si>
  <si>
    <t>Encapsulador</t>
  </si>
  <si>
    <t>Pegamento gotero</t>
  </si>
  <si>
    <t>⭐ Uñas postizas</t>
  </si>
  <si>
    <t>Lima negra</t>
  </si>
  <si>
    <t>Lima delgada</t>
  </si>
  <si>
    <t>Lima profesional</t>
  </si>
  <si>
    <t>Toallas algodón</t>
  </si>
  <si>
    <t>Parches acne</t>
  </si>
  <si>
    <t>Brillos rostro</t>
  </si>
  <si>
    <t>Jabon arroz</t>
  </si>
  <si>
    <t>Serum</t>
  </si>
  <si>
    <t>Agua de rosas</t>
  </si>
  <si>
    <t>Papel de arroz</t>
  </si>
  <si>
    <t>Desmaquillante</t>
  </si>
  <si>
    <t>Agua micelar</t>
  </si>
  <si>
    <t>Crema facial</t>
  </si>
  <si>
    <t>Mascarilla</t>
  </si>
  <si>
    <t>Fijador</t>
  </si>
  <si>
    <t>Primer</t>
  </si>
  <si>
    <t>Toallas desmaquillante</t>
  </si>
  <si>
    <t>Gel cabello</t>
  </si>
  <si>
    <t>Silica</t>
  </si>
  <si>
    <t>Aceite nutritivo</t>
  </si>
  <si>
    <t>Cajita pasadores</t>
  </si>
  <si>
    <t>Toallas humedas</t>
  </si>
  <si>
    <t>Kleenex</t>
  </si>
  <si>
    <t>Crema de bolsillo</t>
  </si>
  <si>
    <t>Toallas desinfectante</t>
  </si>
  <si>
    <t>Gel antibacterial</t>
  </si>
  <si>
    <t>Hilo dental</t>
  </si>
  <si>
    <t>Pasta</t>
  </si>
  <si>
    <t>Cotonetes</t>
  </si>
  <si>
    <t>Exfoliante</t>
  </si>
  <si>
    <t>Desodorante</t>
  </si>
  <si>
    <t>Mariposas</t>
  </si>
  <si>
    <t>Seguritos</t>
  </si>
  <si>
    <t>Kit costura</t>
  </si>
  <si>
    <t>Sacapuntas</t>
  </si>
  <si>
    <t>⭐ Perfumes chicos</t>
  </si>
  <si>
    <t>⭐ Bodys (chicos)</t>
  </si>
  <si>
    <t>Esponja de gota</t>
  </si>
  <si>
    <t>Esponja plana</t>
  </si>
  <si>
    <t>Quesitos</t>
  </si>
  <si>
    <t>Paq. Esponjas</t>
  </si>
  <si>
    <t>Kit brochas</t>
  </si>
  <si>
    <t>Brochas maquillaje</t>
  </si>
  <si>
    <t>Brocha rubor</t>
  </si>
  <si>
    <t>Washa</t>
  </si>
  <si>
    <t>Aplicadores</t>
  </si>
  <si>
    <t>Brochas para sombra suelta</t>
  </si>
  <si>
    <t>Brocha ceja</t>
  </si>
  <si>
    <t>Cepillo ceja</t>
  </si>
  <si>
    <t>Perfiladores</t>
  </si>
  <si>
    <t>Pinzas de depilar</t>
  </si>
  <si>
    <t>Lapiz para ceja</t>
  </si>
  <si>
    <t>Lapiz colores</t>
  </si>
  <si>
    <t>⭐ Lapiz retractil saniye</t>
  </si>
  <si>
    <t>Lapiz retractil favor beauty</t>
  </si>
  <si>
    <t>Sombra ceja</t>
  </si>
  <si>
    <t>⭐ Pomada saniye</t>
  </si>
  <si>
    <t>Pomada favor beauty</t>
  </si>
  <si>
    <t>Jabon ceja</t>
  </si>
  <si>
    <t>⭐ Gel ceja saniye</t>
  </si>
  <si>
    <t>Delineador plumon negro</t>
  </si>
  <si>
    <t>Delineador plumon colores</t>
  </si>
  <si>
    <t>Delineador saniye negro</t>
  </si>
  <si>
    <t>Delineador brillos saniye</t>
  </si>
  <si>
    <t>Delineador saniye cafe</t>
  </si>
  <si>
    <t>Delineador blanco saniye</t>
  </si>
  <si>
    <t>⭐ Delineador liquido colores</t>
  </si>
  <si>
    <t>Delineador prosa tapa morada</t>
  </si>
  <si>
    <t>Delineador negro prosa</t>
  </si>
  <si>
    <t>Delineador italia</t>
  </si>
  <si>
    <t>Delineador organix</t>
  </si>
  <si>
    <t>Delineador ebba y danzon</t>
  </si>
  <si>
    <t>Rimel prosa</t>
  </si>
  <si>
    <t>Rimel karibe</t>
  </si>
  <si>
    <t>Rimel bella</t>
  </si>
  <si>
    <t>Rimel ebba</t>
  </si>
  <si>
    <t>Rimel danzon</t>
  </si>
  <si>
    <t>Enchinador princesa</t>
  </si>
  <si>
    <t>Enchinador by apple</t>
  </si>
  <si>
    <t>Enchinador yoli</t>
  </si>
  <si>
    <t>Enchinador económico</t>
  </si>
  <si>
    <t>Pegamento pestañas duo original</t>
  </si>
  <si>
    <t>Pegamento pestañas ultramo</t>
  </si>
  <si>
    <t>Pegamento pestañas favor beauty</t>
  </si>
  <si>
    <t>Pestañas economicas</t>
  </si>
  <si>
    <t>Pestañas 3d</t>
  </si>
  <si>
    <t>Pestañas magnéticas</t>
  </si>
  <si>
    <t>⭐ Set de pestañas</t>
  </si>
  <si>
    <t>Sombras chicas</t>
  </si>
  <si>
    <t>Sombras medianas</t>
  </si>
  <si>
    <t>Sombras grandes</t>
  </si>
  <si>
    <t>Paletas de sombras</t>
  </si>
  <si>
    <t>Corrector saniye</t>
  </si>
  <si>
    <t>Corrector bissu barra</t>
  </si>
  <si>
    <t>Corrector ultramo</t>
  </si>
  <si>
    <t>Corrector verónica</t>
  </si>
  <si>
    <t>Corrector favor beauty</t>
  </si>
  <si>
    <t>Base saniye $80</t>
  </si>
  <si>
    <t>Base saniye $70</t>
  </si>
  <si>
    <t>Base saniye $60</t>
  </si>
  <si>
    <t>Base bissu</t>
  </si>
  <si>
    <t>Base ultramo</t>
  </si>
  <si>
    <t>Base favor beauty</t>
  </si>
  <si>
    <t>Polvo compacto saniye</t>
  </si>
  <si>
    <t>Polvo compacto bissu</t>
  </si>
  <si>
    <t>Polvo compacto italia</t>
  </si>
  <si>
    <t>Polvo compacto favor beauty</t>
  </si>
  <si>
    <t>Polvo traslúcido bella</t>
  </si>
  <si>
    <t>Polvo traslúcido blanco</t>
  </si>
  <si>
    <t>Polvo traslúcido banana</t>
  </si>
  <si>
    <t>Rubor paletas</t>
  </si>
  <si>
    <t>Rubor individual</t>
  </si>
  <si>
    <t>Rubor barra</t>
  </si>
  <si>
    <t>Rubor liquido</t>
  </si>
  <si>
    <t>Iluminado paleta</t>
  </si>
  <si>
    <t>Iluminador individual</t>
  </si>
  <si>
    <t>Polvo de hadas</t>
  </si>
  <si>
    <t>Contorno en barra</t>
  </si>
  <si>
    <t>Contorno el. Polvo</t>
  </si>
  <si>
    <t>Gloss</t>
  </si>
  <si>
    <t>Tinta</t>
  </si>
  <si>
    <t>Labial magico</t>
  </si>
  <si>
    <t>Labial indelebles favor beauty</t>
  </si>
  <si>
    <t>Paquetes</t>
  </si>
  <si>
    <t>Dinero a invertir</t>
  </si>
  <si>
    <t xml:space="preserve">Labial barra favor beauty </t>
  </si>
  <si>
    <t xml:space="preserve">⭐ Labial indelebles saniye </t>
  </si>
  <si>
    <t xml:space="preserve">Labial en barra </t>
  </si>
  <si>
    <t xml:space="preserve">Gloss (chico) </t>
  </si>
  <si>
    <t xml:space="preserve">Tinta saniye 24pz </t>
  </si>
  <si>
    <t xml:space="preserve">Labial barra bissu </t>
  </si>
  <si>
    <t xml:space="preserve">⭐ Perfumes (grandes) </t>
  </si>
  <si>
    <t xml:space="preserve">⭐ Bodys (grandes) </t>
  </si>
  <si>
    <t>Comprar de mas</t>
  </si>
  <si>
    <t>Tanga</t>
  </si>
  <si>
    <t>2 pz</t>
  </si>
  <si>
    <t>5pz</t>
  </si>
  <si>
    <t>6 pz</t>
  </si>
  <si>
    <t>1 / 2. doc.</t>
  </si>
  <si>
    <t>1 paq</t>
  </si>
  <si>
    <t>1paq</t>
  </si>
  <si>
    <t>3 paq</t>
  </si>
  <si>
    <t>2pz</t>
  </si>
  <si>
    <t>2 paq</t>
  </si>
  <si>
    <t>7pz</t>
  </si>
  <si>
    <t>4pz</t>
  </si>
  <si>
    <t>3pz</t>
  </si>
  <si>
    <t>2 series</t>
  </si>
  <si>
    <t>3 pz</t>
  </si>
  <si>
    <t xml:space="preserve">Kleenex </t>
  </si>
  <si>
    <t>9pz</t>
  </si>
  <si>
    <t xml:space="preserve">1paq </t>
  </si>
  <si>
    <t>22pz</t>
  </si>
  <si>
    <t>60pz</t>
  </si>
  <si>
    <t>20pz</t>
  </si>
  <si>
    <t>19pz</t>
  </si>
  <si>
    <t>8pz</t>
  </si>
  <si>
    <t>99pz</t>
  </si>
  <si>
    <t>14pz</t>
  </si>
  <si>
    <t>17pz</t>
  </si>
  <si>
    <t>6pz</t>
  </si>
  <si>
    <t>13pz</t>
  </si>
  <si>
    <t>pz</t>
  </si>
  <si>
    <t>2paq</t>
  </si>
  <si>
    <t>11pz</t>
  </si>
  <si>
    <t>7 pz</t>
  </si>
  <si>
    <t>1 serie</t>
  </si>
  <si>
    <t>12pz</t>
  </si>
  <si>
    <t>10pz</t>
  </si>
  <si>
    <t>Total</t>
  </si>
  <si>
    <t>Total a invertir</t>
  </si>
  <si>
    <t>Moño</t>
  </si>
  <si>
    <t>Dona basic</t>
  </si>
  <si>
    <t>Valerina</t>
  </si>
  <si>
    <t>Dona gruesa</t>
  </si>
  <si>
    <t>Coletero</t>
  </si>
  <si>
    <t>Ligas negras</t>
  </si>
  <si>
    <t>Dona algodón</t>
  </si>
  <si>
    <t>Ligas colores</t>
  </si>
  <si>
    <t>Ligas transparentes</t>
  </si>
  <si>
    <t>Nudos</t>
  </si>
  <si>
    <t>Cucas</t>
  </si>
  <si>
    <t>Red cabello</t>
  </si>
  <si>
    <t>Peinetas</t>
  </si>
  <si>
    <t>Peine gigante</t>
  </si>
  <si>
    <t>Peine delgado</t>
  </si>
  <si>
    <t>Cepillo grande</t>
  </si>
  <si>
    <t>Cepillo chico</t>
  </si>
  <si>
    <t>Kit chongo</t>
  </si>
  <si>
    <t>Brocha tinte</t>
  </si>
  <si>
    <t>Cepillo bolsillo</t>
  </si>
  <si>
    <t>Bananas</t>
  </si>
  <si>
    <t>Broches</t>
  </si>
  <si>
    <t>Pinzas minis</t>
  </si>
  <si>
    <t>Pinza flor</t>
  </si>
  <si>
    <t>Diadema cascada</t>
  </si>
  <si>
    <t>Dona mágica</t>
  </si>
  <si>
    <t>Pasador tira</t>
  </si>
  <si>
    <t>Cucas estrellas</t>
  </si>
  <si>
    <t>Productos</t>
  </si>
  <si>
    <t>Stock minimo sugerido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</si>
</sst>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80A]* #,##0.00_-;\-[$$-80A]* #,##0.00_-;_-[$$-80A]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0" fillId="2" borderId="0" xfId="0" applyFill="1" applyAlignment="1">
      <alignment wrapText="1"/>
    </xf>
    <xf numFmtId="0" fontId="0" fillId="2" borderId="0" xfId="0" applyFill="1"/>
    <xf numFmtId="164" fontId="0" fillId="2" borderId="0" xfId="0" applyNumberFormat="1" applyFill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164" fontId="0" fillId="2" borderId="1" xfId="0" applyNumberFormat="1" applyFill="1" applyBorder="1"/>
    <xf numFmtId="0" fontId="0" fillId="2" borderId="0" xfId="0" applyFill="1" applyAlignment="1">
      <alignment horizontal="left" wrapText="1"/>
    </xf>
    <xf numFmtId="0" fontId="0" fillId="0" borderId="0" xfId="0" applyFill="1" applyAlignment="1">
      <alignment wrapText="1"/>
    </xf>
    <xf numFmtId="0" fontId="0" fillId="0" borderId="0" xfId="0" applyFill="1"/>
    <xf numFmtId="164" fontId="0" fillId="0" borderId="0" xfId="0" applyNumberFormat="1" applyFill="1"/>
    <xf numFmtId="0" fontId="0" fillId="0" borderId="2" xfId="0" applyFill="1" applyBorder="1" applyAlignment="1">
      <alignment wrapText="1"/>
    </xf>
    <xf numFmtId="0" fontId="0" fillId="0" borderId="2" xfId="0" applyFill="1" applyBorder="1"/>
    <xf numFmtId="164" fontId="0" fillId="0" borderId="2" xfId="0" applyNumberFormat="1" applyFill="1" applyBorder="1"/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CCFF"/>
      <color rgb="FF99FFCC"/>
      <color rgb="FFFFCC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6A33B-7CD6-47B9-AFB8-ECBEA687EE05}">
  <dimension ref="A1:Q198"/>
  <sheetViews>
    <sheetView tabSelected="1" topLeftCell="A21" zoomScale="98" workbookViewId="0">
      <selection activeCell="A30" sqref="A30"/>
    </sheetView>
  </sheetViews>
  <sheetFormatPr baseColWidth="10" defaultColWidth="10.77734375" defaultRowHeight="14.4" x14ac:dyDescent="0.3"/>
  <cols>
    <col min="1" max="1" width="28.6640625" style="1" bestFit="1" customWidth="1"/>
    <col min="2" max="3" width="15.88671875" style="1" customWidth="1"/>
    <col min="4" max="6" width="15.88671875" style="1" hidden="1" customWidth="1"/>
    <col min="7" max="7" width="15.88671875" style="1" customWidth="1"/>
    <col min="8" max="8" width="15.88671875" style="1" hidden="1" customWidth="1"/>
    <col min="9" max="9" width="15.88671875" style="1" customWidth="1"/>
    <col min="11" max="11" width="11.6640625" style="2" bestFit="1" customWidth="1"/>
    <col min="13" max="13" width="11.6640625" bestFit="1" customWidth="1"/>
    <col min="15" max="16" width="25.6640625" bestFit="1" customWidth="1"/>
    <col min="17" max="17" width="19.44140625" bestFit="1" customWidth="1"/>
  </cols>
  <sheetData>
    <row r="1" spans="1:1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178</v>
      </c>
      <c r="J1" s="1" t="s">
        <v>168</v>
      </c>
      <c r="K1" s="1" t="s">
        <v>169</v>
      </c>
      <c r="M1" s="1" t="s">
        <v>215</v>
      </c>
      <c r="P1" t="s">
        <v>244</v>
      </c>
      <c r="Q1" t="s">
        <v>245</v>
      </c>
    </row>
    <row r="2" spans="1:17" x14ac:dyDescent="0.3">
      <c r="A2" s="3" t="s">
        <v>39</v>
      </c>
      <c r="B2" s="3">
        <v>48</v>
      </c>
      <c r="C2" s="3">
        <v>5</v>
      </c>
      <c r="D2" s="3">
        <v>43</v>
      </c>
      <c r="E2" s="3">
        <v>11</v>
      </c>
      <c r="F2" s="3">
        <v>32</v>
      </c>
      <c r="G2" s="3">
        <v>102</v>
      </c>
      <c r="H2" s="3">
        <v>97</v>
      </c>
      <c r="I2" s="3">
        <v>54</v>
      </c>
      <c r="J2" s="4" t="s">
        <v>188</v>
      </c>
      <c r="K2" s="5">
        <v>400</v>
      </c>
      <c r="M2" s="2">
        <f>SUM(K23,K46,K69,K92,K115,K138,K161,K185)</f>
        <v>28952</v>
      </c>
      <c r="P2" s="4" t="s">
        <v>39</v>
      </c>
      <c r="Q2" s="4">
        <v>102</v>
      </c>
    </row>
    <row r="3" spans="1:17" x14ac:dyDescent="0.3">
      <c r="A3" s="3" t="s">
        <v>40</v>
      </c>
      <c r="B3" s="3">
        <v>24</v>
      </c>
      <c r="C3" s="3">
        <v>12</v>
      </c>
      <c r="D3" s="3">
        <v>12</v>
      </c>
      <c r="E3" s="3">
        <v>3</v>
      </c>
      <c r="F3" s="3">
        <v>9</v>
      </c>
      <c r="G3" s="3">
        <v>29</v>
      </c>
      <c r="H3" s="3">
        <v>17</v>
      </c>
      <c r="I3" s="3">
        <v>5</v>
      </c>
      <c r="J3" s="4" t="s">
        <v>184</v>
      </c>
      <c r="K3" s="5">
        <v>75</v>
      </c>
      <c r="P3" s="4" t="s">
        <v>40</v>
      </c>
      <c r="Q3" s="4">
        <v>29</v>
      </c>
    </row>
    <row r="4" spans="1:17" x14ac:dyDescent="0.3">
      <c r="A4" s="3" t="s">
        <v>38</v>
      </c>
      <c r="B4" s="3">
        <v>144</v>
      </c>
      <c r="C4" s="3">
        <v>50</v>
      </c>
      <c r="D4" s="3">
        <v>94</v>
      </c>
      <c r="E4" s="3">
        <v>24</v>
      </c>
      <c r="F4" s="3">
        <v>70</v>
      </c>
      <c r="G4" s="3">
        <v>223</v>
      </c>
      <c r="H4" s="3">
        <v>173</v>
      </c>
      <c r="I4" s="3">
        <v>79</v>
      </c>
      <c r="J4" s="4" t="s">
        <v>188</v>
      </c>
      <c r="K4" s="5">
        <v>600</v>
      </c>
      <c r="P4" s="4" t="s">
        <v>38</v>
      </c>
      <c r="Q4" s="4">
        <v>223</v>
      </c>
    </row>
    <row r="5" spans="1:17" x14ac:dyDescent="0.3">
      <c r="A5" s="3" t="s">
        <v>81</v>
      </c>
      <c r="B5" s="3">
        <v>8</v>
      </c>
      <c r="C5" s="3">
        <v>4</v>
      </c>
      <c r="D5" s="3">
        <v>4</v>
      </c>
      <c r="E5" s="3">
        <v>1</v>
      </c>
      <c r="F5" s="3">
        <v>3</v>
      </c>
      <c r="G5" s="3">
        <v>10</v>
      </c>
      <c r="H5" s="3">
        <v>6</v>
      </c>
      <c r="I5" s="3">
        <v>2</v>
      </c>
      <c r="J5" s="4" t="s">
        <v>187</v>
      </c>
      <c r="K5" s="5">
        <v>50</v>
      </c>
      <c r="P5" s="4" t="s">
        <v>81</v>
      </c>
      <c r="Q5" s="4">
        <v>10</v>
      </c>
    </row>
    <row r="6" spans="1:17" x14ac:dyDescent="0.3">
      <c r="A6" s="3" t="s">
        <v>177</v>
      </c>
      <c r="B6" s="3">
        <v>10</v>
      </c>
      <c r="C6" s="3">
        <v>4</v>
      </c>
      <c r="D6" s="3">
        <v>6</v>
      </c>
      <c r="E6" s="3">
        <v>2</v>
      </c>
      <c r="F6" s="3">
        <v>4</v>
      </c>
      <c r="G6" s="3">
        <v>15</v>
      </c>
      <c r="H6" s="3">
        <v>11</v>
      </c>
      <c r="I6" s="3">
        <v>5</v>
      </c>
      <c r="J6" s="4" t="s">
        <v>213</v>
      </c>
      <c r="K6" s="5">
        <v>600</v>
      </c>
      <c r="P6" s="4" t="s">
        <v>177</v>
      </c>
      <c r="Q6" s="4">
        <v>15</v>
      </c>
    </row>
    <row r="7" spans="1:17" x14ac:dyDescent="0.3">
      <c r="A7" s="3" t="s">
        <v>19</v>
      </c>
      <c r="B7" s="3">
        <v>12</v>
      </c>
      <c r="C7" s="3">
        <v>4</v>
      </c>
      <c r="D7" s="3">
        <v>8</v>
      </c>
      <c r="E7" s="3">
        <v>2</v>
      </c>
      <c r="F7" s="3">
        <v>6</v>
      </c>
      <c r="G7" s="3">
        <v>19</v>
      </c>
      <c r="H7" s="3">
        <v>15</v>
      </c>
      <c r="I7" s="3">
        <v>7</v>
      </c>
      <c r="J7" s="4" t="s">
        <v>184</v>
      </c>
      <c r="K7" s="5">
        <v>160</v>
      </c>
      <c r="P7" s="4" t="s">
        <v>19</v>
      </c>
      <c r="Q7" s="4">
        <v>19</v>
      </c>
    </row>
    <row r="8" spans="1:17" x14ac:dyDescent="0.3">
      <c r="A8" s="3" t="s">
        <v>18</v>
      </c>
      <c r="B8" s="3">
        <v>12</v>
      </c>
      <c r="C8" s="3">
        <v>4</v>
      </c>
      <c r="D8" s="3">
        <v>8</v>
      </c>
      <c r="E8" s="3">
        <v>2</v>
      </c>
      <c r="F8" s="3">
        <v>6</v>
      </c>
      <c r="G8" s="3">
        <v>19</v>
      </c>
      <c r="H8" s="3">
        <v>15</v>
      </c>
      <c r="I8" s="3">
        <v>7</v>
      </c>
      <c r="J8" s="4" t="s">
        <v>184</v>
      </c>
      <c r="K8" s="5">
        <v>480</v>
      </c>
      <c r="P8" s="4" t="s">
        <v>18</v>
      </c>
      <c r="Q8" s="4">
        <v>19</v>
      </c>
    </row>
    <row r="9" spans="1:17" x14ac:dyDescent="0.3">
      <c r="A9" s="3" t="s">
        <v>16</v>
      </c>
      <c r="B9" s="3">
        <v>12</v>
      </c>
      <c r="C9" s="3">
        <v>4</v>
      </c>
      <c r="D9" s="3">
        <v>8</v>
      </c>
      <c r="E9" s="3">
        <v>2</v>
      </c>
      <c r="F9" s="3">
        <v>6</v>
      </c>
      <c r="G9" s="3">
        <v>19</v>
      </c>
      <c r="H9" s="3">
        <v>15</v>
      </c>
      <c r="I9" s="3">
        <v>7</v>
      </c>
      <c r="J9" s="4" t="s">
        <v>184</v>
      </c>
      <c r="K9" s="5">
        <v>780</v>
      </c>
      <c r="P9" s="4" t="s">
        <v>16</v>
      </c>
      <c r="Q9" s="4">
        <v>19</v>
      </c>
    </row>
    <row r="10" spans="1:17" x14ac:dyDescent="0.3">
      <c r="A10" s="3" t="s">
        <v>111</v>
      </c>
      <c r="B10" s="3">
        <v>24</v>
      </c>
      <c r="C10" s="3">
        <v>6</v>
      </c>
      <c r="D10" s="3">
        <v>18</v>
      </c>
      <c r="E10" s="3">
        <v>4</v>
      </c>
      <c r="F10" s="3">
        <v>14</v>
      </c>
      <c r="G10" s="3">
        <v>43</v>
      </c>
      <c r="H10" s="3">
        <v>37</v>
      </c>
      <c r="I10" s="3">
        <v>19</v>
      </c>
      <c r="J10" s="4" t="s">
        <v>200</v>
      </c>
      <c r="K10" s="5">
        <v>266</v>
      </c>
      <c r="P10" s="4" t="s">
        <v>111</v>
      </c>
      <c r="Q10" s="4">
        <v>43</v>
      </c>
    </row>
    <row r="11" spans="1:17" x14ac:dyDescent="0.3">
      <c r="A11" s="3" t="s">
        <v>104</v>
      </c>
      <c r="B11" s="3">
        <v>24</v>
      </c>
      <c r="C11" s="3">
        <v>0</v>
      </c>
      <c r="D11" s="3">
        <v>24</v>
      </c>
      <c r="E11" s="3">
        <v>6</v>
      </c>
      <c r="F11" s="3">
        <v>18</v>
      </c>
      <c r="G11" s="3">
        <v>57</v>
      </c>
      <c r="H11" s="3">
        <v>57</v>
      </c>
      <c r="I11" s="3">
        <v>33</v>
      </c>
      <c r="J11" s="4" t="s">
        <v>184</v>
      </c>
      <c r="K11" s="5">
        <v>330</v>
      </c>
      <c r="P11" s="4" t="s">
        <v>104</v>
      </c>
      <c r="Q11" s="4">
        <v>57</v>
      </c>
    </row>
    <row r="12" spans="1:17" x14ac:dyDescent="0.3">
      <c r="A12" s="3" t="s">
        <v>171</v>
      </c>
      <c r="B12" s="3">
        <v>60</v>
      </c>
      <c r="C12" s="3">
        <v>30</v>
      </c>
      <c r="D12" s="3">
        <v>30</v>
      </c>
      <c r="E12" s="3">
        <v>8</v>
      </c>
      <c r="F12" s="3">
        <v>22</v>
      </c>
      <c r="G12" s="3">
        <v>71</v>
      </c>
      <c r="H12" s="3">
        <v>41</v>
      </c>
      <c r="I12" s="3">
        <v>11</v>
      </c>
      <c r="J12" s="4" t="s">
        <v>192</v>
      </c>
      <c r="K12" s="5">
        <v>264</v>
      </c>
      <c r="P12" s="4" t="s">
        <v>171</v>
      </c>
      <c r="Q12" s="4">
        <v>71</v>
      </c>
    </row>
    <row r="13" spans="1:17" x14ac:dyDescent="0.3">
      <c r="A13" s="3" t="s">
        <v>98</v>
      </c>
      <c r="B13" s="3">
        <v>24</v>
      </c>
      <c r="C13" s="3">
        <v>8</v>
      </c>
      <c r="D13" s="3">
        <v>16</v>
      </c>
      <c r="E13" s="3">
        <v>4</v>
      </c>
      <c r="F13" s="3">
        <v>12</v>
      </c>
      <c r="G13" s="3">
        <v>38</v>
      </c>
      <c r="H13" s="3">
        <v>30</v>
      </c>
      <c r="I13" s="3">
        <v>14</v>
      </c>
      <c r="J13" s="4" t="s">
        <v>192</v>
      </c>
      <c r="K13" s="5">
        <v>204</v>
      </c>
      <c r="P13" s="4" t="s">
        <v>98</v>
      </c>
      <c r="Q13" s="4">
        <v>38</v>
      </c>
    </row>
    <row r="14" spans="1:17" x14ac:dyDescent="0.3">
      <c r="A14" s="3" t="s">
        <v>176</v>
      </c>
      <c r="B14" s="3">
        <v>12</v>
      </c>
      <c r="C14" s="3">
        <v>2</v>
      </c>
      <c r="D14" s="3">
        <v>10</v>
      </c>
      <c r="E14" s="3">
        <v>2</v>
      </c>
      <c r="F14" s="3">
        <v>8</v>
      </c>
      <c r="G14" s="3">
        <v>24</v>
      </c>
      <c r="H14" s="3">
        <v>22</v>
      </c>
      <c r="I14" s="3">
        <v>12</v>
      </c>
      <c r="J14" s="4" t="s">
        <v>212</v>
      </c>
      <c r="K14" s="5">
        <v>780</v>
      </c>
      <c r="P14" s="4" t="s">
        <v>176</v>
      </c>
      <c r="Q14" s="4">
        <v>24</v>
      </c>
    </row>
    <row r="15" spans="1:17" x14ac:dyDescent="0.3">
      <c r="A15" s="3" t="s">
        <v>80</v>
      </c>
      <c r="B15" s="3">
        <v>14</v>
      </c>
      <c r="C15" s="3">
        <v>6</v>
      </c>
      <c r="D15" s="3">
        <v>8</v>
      </c>
      <c r="E15" s="3">
        <v>2</v>
      </c>
      <c r="F15" s="3">
        <v>6</v>
      </c>
      <c r="G15" s="3">
        <v>19</v>
      </c>
      <c r="H15" s="3">
        <v>13</v>
      </c>
      <c r="I15" s="3">
        <v>5</v>
      </c>
      <c r="J15" s="4" t="s">
        <v>181</v>
      </c>
      <c r="K15" s="5">
        <v>150</v>
      </c>
      <c r="P15" s="4" t="s">
        <v>80</v>
      </c>
      <c r="Q15" s="4">
        <v>19</v>
      </c>
    </row>
    <row r="16" spans="1:17" x14ac:dyDescent="0.3">
      <c r="A16" s="3" t="s">
        <v>22</v>
      </c>
      <c r="B16" s="3">
        <v>84</v>
      </c>
      <c r="C16" s="3">
        <v>35</v>
      </c>
      <c r="D16" s="3">
        <v>49</v>
      </c>
      <c r="E16" s="3">
        <v>12</v>
      </c>
      <c r="F16" s="3">
        <v>37</v>
      </c>
      <c r="G16" s="3">
        <v>116</v>
      </c>
      <c r="H16" s="3">
        <v>81</v>
      </c>
      <c r="I16" s="3">
        <v>32</v>
      </c>
      <c r="J16" s="4" t="s">
        <v>186</v>
      </c>
      <c r="K16" s="5">
        <v>300</v>
      </c>
      <c r="P16" s="4" t="s">
        <v>22</v>
      </c>
      <c r="Q16" s="4">
        <v>116</v>
      </c>
    </row>
    <row r="17" spans="1:17" x14ac:dyDescent="0.3">
      <c r="A17" s="3" t="s">
        <v>101</v>
      </c>
      <c r="B17" s="3">
        <v>12</v>
      </c>
      <c r="C17" s="3">
        <v>3</v>
      </c>
      <c r="D17" s="3">
        <v>9</v>
      </c>
      <c r="E17" s="3">
        <v>2</v>
      </c>
      <c r="F17" s="3">
        <v>7</v>
      </c>
      <c r="G17" s="3">
        <v>22</v>
      </c>
      <c r="H17" s="3">
        <v>19</v>
      </c>
      <c r="I17" s="3">
        <v>10</v>
      </c>
      <c r="J17" s="4" t="s">
        <v>185</v>
      </c>
      <c r="K17" s="5">
        <v>265</v>
      </c>
      <c r="P17" s="4" t="s">
        <v>101</v>
      </c>
      <c r="Q17" s="4">
        <v>22</v>
      </c>
    </row>
    <row r="18" spans="1:17" x14ac:dyDescent="0.3">
      <c r="A18" s="3" t="s">
        <v>21</v>
      </c>
      <c r="B18" s="3">
        <v>12</v>
      </c>
      <c r="C18" s="3">
        <v>4</v>
      </c>
      <c r="D18" s="3">
        <v>8</v>
      </c>
      <c r="E18" s="3">
        <v>2</v>
      </c>
      <c r="F18" s="3">
        <v>6</v>
      </c>
      <c r="G18" s="3">
        <v>19</v>
      </c>
      <c r="H18" s="3">
        <v>15</v>
      </c>
      <c r="I18" s="3">
        <v>7</v>
      </c>
      <c r="J18" s="4" t="s">
        <v>184</v>
      </c>
      <c r="K18" s="5">
        <v>75</v>
      </c>
      <c r="P18" s="4" t="s">
        <v>21</v>
      </c>
      <c r="Q18" s="4">
        <v>19</v>
      </c>
    </row>
    <row r="19" spans="1:17" x14ac:dyDescent="0.3">
      <c r="A19" s="3" t="s">
        <v>132</v>
      </c>
      <c r="B19" s="3">
        <v>12</v>
      </c>
      <c r="C19" s="3">
        <v>0</v>
      </c>
      <c r="D19" s="3">
        <v>12</v>
      </c>
      <c r="E19" s="3">
        <v>3</v>
      </c>
      <c r="F19" s="3">
        <v>9</v>
      </c>
      <c r="G19" s="3">
        <v>29</v>
      </c>
      <c r="H19" s="3">
        <v>29</v>
      </c>
      <c r="I19" s="3">
        <v>17</v>
      </c>
      <c r="J19" s="4" t="s">
        <v>204</v>
      </c>
      <c r="K19" s="5">
        <v>850</v>
      </c>
      <c r="P19" s="4" t="s">
        <v>132</v>
      </c>
      <c r="Q19" s="4">
        <v>29</v>
      </c>
    </row>
    <row r="20" spans="1:17" x14ac:dyDescent="0.3">
      <c r="A20" s="3" t="s">
        <v>20</v>
      </c>
      <c r="B20" s="3">
        <v>24</v>
      </c>
      <c r="C20" s="3">
        <v>9</v>
      </c>
      <c r="D20" s="3">
        <v>15</v>
      </c>
      <c r="E20" s="3">
        <v>4</v>
      </c>
      <c r="F20" s="3">
        <v>11</v>
      </c>
      <c r="G20" s="3">
        <v>36</v>
      </c>
      <c r="H20" s="3">
        <v>27</v>
      </c>
      <c r="I20" s="3">
        <v>12</v>
      </c>
      <c r="J20" s="4" t="s">
        <v>184</v>
      </c>
      <c r="K20" s="5">
        <v>75</v>
      </c>
      <c r="P20" s="4" t="s">
        <v>20</v>
      </c>
      <c r="Q20" s="4">
        <v>36</v>
      </c>
    </row>
    <row r="21" spans="1:17" x14ac:dyDescent="0.3">
      <c r="A21" s="3" t="s">
        <v>17</v>
      </c>
      <c r="B21" s="3">
        <v>12</v>
      </c>
      <c r="C21" s="3">
        <v>4</v>
      </c>
      <c r="D21" s="3">
        <v>8</v>
      </c>
      <c r="E21" s="3">
        <v>2</v>
      </c>
      <c r="F21" s="3">
        <v>6</v>
      </c>
      <c r="G21" s="3">
        <v>19</v>
      </c>
      <c r="H21" s="3">
        <v>15</v>
      </c>
      <c r="I21" s="3">
        <v>7</v>
      </c>
      <c r="J21" s="4" t="s">
        <v>185</v>
      </c>
      <c r="K21" s="5">
        <v>480</v>
      </c>
      <c r="P21" s="4" t="s">
        <v>17</v>
      </c>
      <c r="Q21" s="4">
        <v>19</v>
      </c>
    </row>
    <row r="22" spans="1:17" ht="15" thickBot="1" x14ac:dyDescent="0.35">
      <c r="A22" s="8" t="s">
        <v>44</v>
      </c>
      <c r="B22" s="8">
        <v>24</v>
      </c>
      <c r="C22" s="8">
        <v>8</v>
      </c>
      <c r="D22" s="3">
        <v>16</v>
      </c>
      <c r="E22" s="3">
        <v>4</v>
      </c>
      <c r="F22" s="3">
        <v>12</v>
      </c>
      <c r="G22" s="8">
        <v>38</v>
      </c>
      <c r="H22" s="3">
        <v>30</v>
      </c>
      <c r="I22" s="8">
        <v>14</v>
      </c>
      <c r="J22" s="9" t="s">
        <v>184</v>
      </c>
      <c r="K22" s="10">
        <v>200</v>
      </c>
      <c r="P22" s="4" t="s">
        <v>44</v>
      </c>
      <c r="Q22" s="4">
        <v>38</v>
      </c>
    </row>
    <row r="23" spans="1:17" ht="15" thickTop="1" x14ac:dyDescent="0.3">
      <c r="A23" s="11" t="s">
        <v>214</v>
      </c>
      <c r="B23" s="11"/>
      <c r="C23" s="11"/>
      <c r="D23" s="11"/>
      <c r="E23" s="11"/>
      <c r="F23" s="11"/>
      <c r="G23" s="11"/>
      <c r="H23" s="11"/>
      <c r="I23" s="11"/>
      <c r="J23" s="11"/>
      <c r="K23" s="5">
        <f>SUM(K2:K22)</f>
        <v>7384</v>
      </c>
      <c r="P23" s="6" t="s">
        <v>216</v>
      </c>
      <c r="Q23" s="7">
        <v>95</v>
      </c>
    </row>
    <row r="24" spans="1:17" x14ac:dyDescent="0.3">
      <c r="P24" s="6" t="s">
        <v>217</v>
      </c>
      <c r="Q24" s="7">
        <v>132</v>
      </c>
    </row>
    <row r="25" spans="1:17" x14ac:dyDescent="0.3">
      <c r="A25" s="12" t="s">
        <v>64</v>
      </c>
      <c r="B25" s="12">
        <v>12</v>
      </c>
      <c r="C25" s="12">
        <v>7</v>
      </c>
      <c r="D25" s="12">
        <v>5</v>
      </c>
      <c r="E25" s="12">
        <v>1</v>
      </c>
      <c r="F25" s="12">
        <v>4</v>
      </c>
      <c r="G25" s="12">
        <v>12</v>
      </c>
      <c r="H25" s="12">
        <v>5</v>
      </c>
      <c r="I25" s="12">
        <v>0</v>
      </c>
      <c r="J25" s="13"/>
      <c r="K25" s="14"/>
      <c r="P25" s="6" t="s">
        <v>218</v>
      </c>
      <c r="Q25" s="7">
        <v>24</v>
      </c>
    </row>
    <row r="26" spans="1:17" x14ac:dyDescent="0.3">
      <c r="A26" s="12" t="s">
        <v>36</v>
      </c>
      <c r="B26" s="12">
        <v>12</v>
      </c>
      <c r="C26" s="12">
        <v>5</v>
      </c>
      <c r="D26" s="12">
        <v>7</v>
      </c>
      <c r="E26" s="12">
        <v>2</v>
      </c>
      <c r="F26" s="12">
        <v>5</v>
      </c>
      <c r="G26" s="12">
        <v>17</v>
      </c>
      <c r="H26" s="12">
        <v>12</v>
      </c>
      <c r="I26" s="12">
        <v>5</v>
      </c>
      <c r="J26" s="13" t="s">
        <v>181</v>
      </c>
      <c r="K26" s="14">
        <v>75</v>
      </c>
      <c r="P26" s="6" t="s">
        <v>219</v>
      </c>
      <c r="Q26" s="7">
        <v>68</v>
      </c>
    </row>
    <row r="27" spans="1:17" x14ac:dyDescent="0.3">
      <c r="A27" s="12" t="s">
        <v>53</v>
      </c>
      <c r="B27" s="12">
        <v>6</v>
      </c>
      <c r="C27" s="12">
        <v>3</v>
      </c>
      <c r="D27" s="12">
        <v>3</v>
      </c>
      <c r="E27" s="12">
        <v>1</v>
      </c>
      <c r="F27" s="12">
        <v>2</v>
      </c>
      <c r="G27" s="12">
        <v>8</v>
      </c>
      <c r="H27" s="12">
        <v>5</v>
      </c>
      <c r="I27" s="12">
        <v>2</v>
      </c>
      <c r="J27" s="13" t="s">
        <v>180</v>
      </c>
      <c r="K27" s="14">
        <v>30</v>
      </c>
      <c r="P27" s="6" t="s">
        <v>220</v>
      </c>
      <c r="Q27" s="7">
        <v>24</v>
      </c>
    </row>
    <row r="28" spans="1:17" x14ac:dyDescent="0.3">
      <c r="A28" s="12" t="s">
        <v>56</v>
      </c>
      <c r="B28" s="12">
        <v>6</v>
      </c>
      <c r="C28" s="12">
        <v>2</v>
      </c>
      <c r="D28" s="12">
        <v>4</v>
      </c>
      <c r="E28" s="12">
        <v>1</v>
      </c>
      <c r="F28" s="12">
        <v>3</v>
      </c>
      <c r="G28" s="12">
        <v>10</v>
      </c>
      <c r="H28" s="12">
        <v>8</v>
      </c>
      <c r="I28" s="12">
        <v>4</v>
      </c>
      <c r="J28" s="13" t="s">
        <v>190</v>
      </c>
      <c r="K28" s="14">
        <v>60</v>
      </c>
      <c r="P28" s="6" t="s">
        <v>221</v>
      </c>
      <c r="Q28" s="7">
        <v>56</v>
      </c>
    </row>
    <row r="29" spans="1:17" x14ac:dyDescent="0.3">
      <c r="A29" s="12" t="s">
        <v>29</v>
      </c>
      <c r="B29" s="12">
        <v>12</v>
      </c>
      <c r="C29" s="12">
        <v>8</v>
      </c>
      <c r="D29" s="12">
        <v>4</v>
      </c>
      <c r="E29" s="12">
        <v>1</v>
      </c>
      <c r="F29" s="12">
        <v>3</v>
      </c>
      <c r="G29" s="12">
        <v>12</v>
      </c>
      <c r="H29" s="12">
        <v>4</v>
      </c>
      <c r="I29" s="12">
        <v>0</v>
      </c>
      <c r="J29" s="13"/>
      <c r="K29" s="14"/>
      <c r="P29" s="6" t="s">
        <v>222</v>
      </c>
      <c r="Q29" s="7">
        <v>24</v>
      </c>
    </row>
    <row r="30" spans="1:17" x14ac:dyDescent="0.3">
      <c r="A30" s="12" t="s">
        <v>90</v>
      </c>
      <c r="B30" s="12">
        <v>12</v>
      </c>
      <c r="C30" s="12">
        <v>6</v>
      </c>
      <c r="D30" s="12">
        <v>6</v>
      </c>
      <c r="E30" s="12">
        <v>2</v>
      </c>
      <c r="F30" s="12">
        <v>4</v>
      </c>
      <c r="G30" s="12">
        <v>15</v>
      </c>
      <c r="H30" s="12">
        <v>9</v>
      </c>
      <c r="I30" s="12">
        <v>3</v>
      </c>
      <c r="J30" s="13" t="s">
        <v>185</v>
      </c>
      <c r="K30" s="14">
        <v>45</v>
      </c>
      <c r="P30" s="6" t="s">
        <v>223</v>
      </c>
      <c r="Q30" s="7">
        <v>56</v>
      </c>
    </row>
    <row r="31" spans="1:17" x14ac:dyDescent="0.3">
      <c r="A31" s="12" t="s">
        <v>145</v>
      </c>
      <c r="B31" s="12">
        <v>8</v>
      </c>
      <c r="C31" s="12">
        <v>2</v>
      </c>
      <c r="D31" s="12">
        <v>6</v>
      </c>
      <c r="E31" s="12">
        <v>2</v>
      </c>
      <c r="F31" s="12">
        <v>4</v>
      </c>
      <c r="G31" s="12">
        <v>15</v>
      </c>
      <c r="H31" s="12">
        <v>13</v>
      </c>
      <c r="I31" s="12">
        <v>7</v>
      </c>
      <c r="J31" s="13" t="s">
        <v>210</v>
      </c>
      <c r="K31" s="14">
        <v>700</v>
      </c>
      <c r="P31" s="6" t="s">
        <v>224</v>
      </c>
      <c r="Q31" s="7">
        <v>56</v>
      </c>
    </row>
    <row r="32" spans="1:17" x14ac:dyDescent="0.3">
      <c r="A32" s="12" t="s">
        <v>147</v>
      </c>
      <c r="B32" s="12">
        <v>24</v>
      </c>
      <c r="C32" s="12">
        <v>10</v>
      </c>
      <c r="D32" s="12">
        <v>14</v>
      </c>
      <c r="E32" s="12">
        <v>4</v>
      </c>
      <c r="F32" s="12">
        <v>10</v>
      </c>
      <c r="G32" s="12">
        <v>34</v>
      </c>
      <c r="H32" s="12">
        <v>24</v>
      </c>
      <c r="I32" s="12">
        <v>10</v>
      </c>
      <c r="J32" s="13" t="s">
        <v>184</v>
      </c>
      <c r="K32" s="14">
        <v>220</v>
      </c>
      <c r="P32" s="6" t="s">
        <v>225</v>
      </c>
      <c r="Q32" s="7">
        <v>24</v>
      </c>
    </row>
    <row r="33" spans="1:17" x14ac:dyDescent="0.3">
      <c r="A33" s="12" t="s">
        <v>144</v>
      </c>
      <c r="B33" s="12">
        <v>48</v>
      </c>
      <c r="C33" s="12">
        <v>24</v>
      </c>
      <c r="D33" s="12">
        <v>24</v>
      </c>
      <c r="E33" s="12">
        <v>6</v>
      </c>
      <c r="F33" s="12">
        <v>18</v>
      </c>
      <c r="G33" s="12">
        <v>57</v>
      </c>
      <c r="H33" s="12">
        <v>33</v>
      </c>
      <c r="I33" s="12">
        <v>9</v>
      </c>
      <c r="J33" s="13" t="s">
        <v>184</v>
      </c>
      <c r="K33" s="14">
        <v>508</v>
      </c>
      <c r="P33" s="6" t="s">
        <v>226</v>
      </c>
      <c r="Q33" s="7">
        <v>68</v>
      </c>
    </row>
    <row r="34" spans="1:17" x14ac:dyDescent="0.3">
      <c r="A34" s="12" t="s">
        <v>143</v>
      </c>
      <c r="B34" s="12">
        <v>24</v>
      </c>
      <c r="C34" s="12">
        <v>17</v>
      </c>
      <c r="D34" s="12">
        <v>7</v>
      </c>
      <c r="E34" s="12">
        <v>2</v>
      </c>
      <c r="F34" s="12">
        <v>5</v>
      </c>
      <c r="G34" s="12">
        <v>24</v>
      </c>
      <c r="H34" s="12">
        <v>7</v>
      </c>
      <c r="I34" s="12">
        <v>0</v>
      </c>
      <c r="J34" s="13"/>
      <c r="K34" s="14"/>
      <c r="P34" s="6" t="s">
        <v>227</v>
      </c>
      <c r="Q34" s="7">
        <v>36</v>
      </c>
    </row>
    <row r="35" spans="1:17" x14ac:dyDescent="0.3">
      <c r="A35" s="12" t="s">
        <v>142</v>
      </c>
      <c r="B35" s="12">
        <v>36</v>
      </c>
      <c r="C35" s="12">
        <v>15</v>
      </c>
      <c r="D35" s="12">
        <v>21</v>
      </c>
      <c r="E35" s="12">
        <v>5</v>
      </c>
      <c r="F35" s="12">
        <v>16</v>
      </c>
      <c r="G35" s="12">
        <v>50</v>
      </c>
      <c r="H35" s="12">
        <v>35</v>
      </c>
      <c r="I35" s="12">
        <v>14</v>
      </c>
      <c r="J35" s="13" t="s">
        <v>185</v>
      </c>
      <c r="K35" s="14">
        <v>580</v>
      </c>
      <c r="P35" s="6" t="s">
        <v>228</v>
      </c>
      <c r="Q35" s="7">
        <v>24</v>
      </c>
    </row>
    <row r="36" spans="1:17" x14ac:dyDescent="0.3">
      <c r="A36" s="12" t="s">
        <v>146</v>
      </c>
      <c r="B36" s="12">
        <v>12</v>
      </c>
      <c r="C36" s="12">
        <v>6</v>
      </c>
      <c r="D36" s="12">
        <v>6</v>
      </c>
      <c r="E36" s="12">
        <v>2</v>
      </c>
      <c r="F36" s="12">
        <v>4</v>
      </c>
      <c r="G36" s="12">
        <v>15</v>
      </c>
      <c r="H36" s="12">
        <v>9</v>
      </c>
      <c r="I36" s="12">
        <v>3</v>
      </c>
      <c r="J36" s="13" t="s">
        <v>211</v>
      </c>
      <c r="K36" s="14">
        <v>200</v>
      </c>
      <c r="P36" s="6" t="s">
        <v>229</v>
      </c>
      <c r="Q36" s="7">
        <v>24</v>
      </c>
    </row>
    <row r="37" spans="1:17" x14ac:dyDescent="0.3">
      <c r="A37" s="12" t="s">
        <v>10</v>
      </c>
      <c r="B37" s="12">
        <v>6</v>
      </c>
      <c r="C37" s="12">
        <v>1</v>
      </c>
      <c r="D37" s="12">
        <v>5</v>
      </c>
      <c r="E37" s="12">
        <v>1</v>
      </c>
      <c r="F37" s="12">
        <v>4</v>
      </c>
      <c r="G37" s="12">
        <v>12</v>
      </c>
      <c r="H37" s="12">
        <v>11</v>
      </c>
      <c r="I37" s="12">
        <v>6</v>
      </c>
      <c r="J37" s="13" t="s">
        <v>182</v>
      </c>
      <c r="K37" s="14">
        <v>300</v>
      </c>
      <c r="P37" s="6" t="s">
        <v>230</v>
      </c>
      <c r="Q37" s="7">
        <v>56</v>
      </c>
    </row>
    <row r="38" spans="1:17" x14ac:dyDescent="0.3">
      <c r="A38" s="12" t="s">
        <v>50</v>
      </c>
      <c r="B38" s="12">
        <v>12</v>
      </c>
      <c r="C38" s="12">
        <v>3</v>
      </c>
      <c r="D38" s="12">
        <v>9</v>
      </c>
      <c r="E38" s="12">
        <v>2</v>
      </c>
      <c r="F38" s="12">
        <v>7</v>
      </c>
      <c r="G38" s="12">
        <v>22</v>
      </c>
      <c r="H38" s="12">
        <v>19</v>
      </c>
      <c r="I38" s="12">
        <v>10</v>
      </c>
      <c r="J38" s="13" t="s">
        <v>184</v>
      </c>
      <c r="K38" s="14">
        <v>55</v>
      </c>
      <c r="P38" s="6" t="s">
        <v>231</v>
      </c>
      <c r="Q38" s="7">
        <v>20</v>
      </c>
    </row>
    <row r="39" spans="1:17" x14ac:dyDescent="0.3">
      <c r="A39" s="12" t="s">
        <v>92</v>
      </c>
      <c r="B39" s="12">
        <v>12</v>
      </c>
      <c r="C39" s="12">
        <v>2</v>
      </c>
      <c r="D39" s="12">
        <v>10</v>
      </c>
      <c r="E39" s="12">
        <v>2</v>
      </c>
      <c r="F39" s="12">
        <v>8</v>
      </c>
      <c r="G39" s="12">
        <v>24</v>
      </c>
      <c r="H39" s="12">
        <v>22</v>
      </c>
      <c r="I39" s="12">
        <v>12</v>
      </c>
      <c r="J39" s="13" t="s">
        <v>184</v>
      </c>
      <c r="K39" s="14">
        <v>40</v>
      </c>
      <c r="P39" s="6" t="s">
        <v>232</v>
      </c>
      <c r="Q39" s="7">
        <v>20</v>
      </c>
    </row>
    <row r="40" spans="1:17" x14ac:dyDescent="0.3">
      <c r="A40" s="12" t="s">
        <v>88</v>
      </c>
      <c r="B40" s="12">
        <v>12</v>
      </c>
      <c r="C40" s="12">
        <v>3</v>
      </c>
      <c r="D40" s="12">
        <v>9</v>
      </c>
      <c r="E40" s="12">
        <v>2</v>
      </c>
      <c r="F40" s="12">
        <v>7</v>
      </c>
      <c r="G40" s="12">
        <v>22</v>
      </c>
      <c r="H40" s="12">
        <v>19</v>
      </c>
      <c r="I40" s="12">
        <v>10</v>
      </c>
      <c r="J40" s="13" t="s">
        <v>185</v>
      </c>
      <c r="K40" s="14">
        <v>145</v>
      </c>
      <c r="P40" s="6" t="s">
        <v>233</v>
      </c>
      <c r="Q40" s="7">
        <v>36</v>
      </c>
    </row>
    <row r="41" spans="1:17" x14ac:dyDescent="0.3">
      <c r="A41" s="12" t="s">
        <v>87</v>
      </c>
      <c r="B41" s="12">
        <v>12</v>
      </c>
      <c r="C41" s="12">
        <v>2</v>
      </c>
      <c r="D41" s="12">
        <v>10</v>
      </c>
      <c r="E41" s="12">
        <v>2</v>
      </c>
      <c r="F41" s="12">
        <v>8</v>
      </c>
      <c r="G41" s="12">
        <v>24</v>
      </c>
      <c r="H41" s="12">
        <v>22</v>
      </c>
      <c r="I41" s="12">
        <v>12</v>
      </c>
      <c r="J41" s="13" t="s">
        <v>196</v>
      </c>
      <c r="K41" s="14">
        <v>150</v>
      </c>
      <c r="P41" s="6" t="s">
        <v>234</v>
      </c>
      <c r="Q41" s="7">
        <v>24</v>
      </c>
    </row>
    <row r="42" spans="1:17" x14ac:dyDescent="0.3">
      <c r="A42" s="12" t="s">
        <v>91</v>
      </c>
      <c r="B42" s="12">
        <v>12</v>
      </c>
      <c r="C42" s="12">
        <v>2</v>
      </c>
      <c r="D42" s="12">
        <v>10</v>
      </c>
      <c r="E42" s="12">
        <v>2</v>
      </c>
      <c r="F42" s="12">
        <v>8</v>
      </c>
      <c r="G42" s="12">
        <v>24</v>
      </c>
      <c r="H42" s="12">
        <v>22</v>
      </c>
      <c r="I42" s="12">
        <v>12</v>
      </c>
      <c r="J42" s="13" t="s">
        <v>185</v>
      </c>
      <c r="K42" s="14">
        <v>80</v>
      </c>
      <c r="P42" s="6" t="s">
        <v>235</v>
      </c>
      <c r="Q42" s="7">
        <v>24</v>
      </c>
    </row>
    <row r="43" spans="1:17" x14ac:dyDescent="0.3">
      <c r="A43" s="12" t="s">
        <v>65</v>
      </c>
      <c r="B43" s="12">
        <v>12</v>
      </c>
      <c r="C43" s="12">
        <v>7</v>
      </c>
      <c r="D43" s="12">
        <v>5</v>
      </c>
      <c r="E43" s="12">
        <v>1</v>
      </c>
      <c r="F43" s="12">
        <v>4</v>
      </c>
      <c r="G43" s="12">
        <v>12</v>
      </c>
      <c r="H43" s="12">
        <v>5</v>
      </c>
      <c r="I43" s="12">
        <v>0</v>
      </c>
      <c r="J43" s="13"/>
      <c r="K43" s="14"/>
      <c r="P43" s="6" t="s">
        <v>236</v>
      </c>
      <c r="Q43" s="7">
        <v>24</v>
      </c>
    </row>
    <row r="44" spans="1:17" x14ac:dyDescent="0.3">
      <c r="A44" s="12" t="s">
        <v>15</v>
      </c>
      <c r="B44" s="12">
        <v>12</v>
      </c>
      <c r="C44" s="12">
        <v>6</v>
      </c>
      <c r="D44" s="12">
        <v>6</v>
      </c>
      <c r="E44" s="12">
        <v>2</v>
      </c>
      <c r="F44" s="12">
        <v>4</v>
      </c>
      <c r="G44" s="12">
        <v>15</v>
      </c>
      <c r="H44" s="12">
        <v>9</v>
      </c>
      <c r="I44" s="12">
        <v>3</v>
      </c>
      <c r="J44" s="13" t="s">
        <v>183</v>
      </c>
      <c r="K44" s="14">
        <v>240</v>
      </c>
      <c r="P44" s="6" t="s">
        <v>237</v>
      </c>
      <c r="Q44" s="7">
        <v>24</v>
      </c>
    </row>
    <row r="45" spans="1:17" ht="15" thickBot="1" x14ac:dyDescent="0.35">
      <c r="A45" s="12" t="s">
        <v>14</v>
      </c>
      <c r="B45" s="12">
        <v>12</v>
      </c>
      <c r="C45" s="12">
        <v>7</v>
      </c>
      <c r="D45" s="12">
        <v>5</v>
      </c>
      <c r="E45" s="12">
        <v>1</v>
      </c>
      <c r="F45" s="12">
        <v>4</v>
      </c>
      <c r="G45" s="12">
        <v>12</v>
      </c>
      <c r="H45" s="12">
        <v>5</v>
      </c>
      <c r="I45" s="12">
        <v>0</v>
      </c>
      <c r="J45" s="13"/>
      <c r="K45" s="14"/>
      <c r="P45" s="6" t="s">
        <v>238</v>
      </c>
      <c r="Q45" s="7">
        <v>36</v>
      </c>
    </row>
    <row r="46" spans="1:17" ht="15" thickTop="1" x14ac:dyDescent="0.3">
      <c r="A46" s="15" t="s">
        <v>214</v>
      </c>
      <c r="B46" s="15"/>
      <c r="C46" s="15"/>
      <c r="D46" s="15"/>
      <c r="E46" s="15"/>
      <c r="F46" s="15"/>
      <c r="G46" s="15"/>
      <c r="H46" s="15"/>
      <c r="I46" s="15"/>
      <c r="J46" s="16"/>
      <c r="K46" s="17">
        <f>SUM(K26:K45)</f>
        <v>3428</v>
      </c>
      <c r="P46" s="6" t="s">
        <v>239</v>
      </c>
      <c r="Q46" s="7">
        <v>24</v>
      </c>
    </row>
    <row r="47" spans="1:17" x14ac:dyDescent="0.3">
      <c r="P47" s="6" t="s">
        <v>240</v>
      </c>
      <c r="Q47" s="7">
        <v>36</v>
      </c>
    </row>
    <row r="48" spans="1:17" x14ac:dyDescent="0.3">
      <c r="A48" s="12" t="s">
        <v>93</v>
      </c>
      <c r="B48" s="12">
        <v>12</v>
      </c>
      <c r="C48" s="12">
        <v>6</v>
      </c>
      <c r="D48" s="12">
        <v>6</v>
      </c>
      <c r="E48" s="12">
        <v>2</v>
      </c>
      <c r="F48" s="12">
        <v>4</v>
      </c>
      <c r="G48" s="12">
        <v>15</v>
      </c>
      <c r="H48" s="12">
        <v>9</v>
      </c>
      <c r="I48" s="12">
        <v>3</v>
      </c>
      <c r="J48" s="13" t="s">
        <v>185</v>
      </c>
      <c r="K48" s="14">
        <v>45</v>
      </c>
      <c r="L48" s="13"/>
      <c r="P48" s="6" t="s">
        <v>241</v>
      </c>
      <c r="Q48" s="7">
        <v>36</v>
      </c>
    </row>
    <row r="49" spans="1:17" x14ac:dyDescent="0.3">
      <c r="A49" s="12" t="s">
        <v>34</v>
      </c>
      <c r="B49" s="12">
        <v>12</v>
      </c>
      <c r="C49" s="12">
        <v>8</v>
      </c>
      <c r="D49" s="12">
        <v>4</v>
      </c>
      <c r="E49" s="12">
        <v>1</v>
      </c>
      <c r="F49" s="12">
        <v>3</v>
      </c>
      <c r="G49" s="12">
        <v>12</v>
      </c>
      <c r="H49" s="12">
        <v>4</v>
      </c>
      <c r="I49" s="12">
        <v>0</v>
      </c>
      <c r="J49" s="13"/>
      <c r="K49" s="14"/>
      <c r="L49" s="13"/>
      <c r="P49" s="6" t="s">
        <v>242</v>
      </c>
      <c r="Q49" s="7">
        <v>36</v>
      </c>
    </row>
    <row r="50" spans="1:17" x14ac:dyDescent="0.3">
      <c r="A50" s="12" t="s">
        <v>163</v>
      </c>
      <c r="B50" s="12">
        <v>12</v>
      </c>
      <c r="C50" s="12">
        <v>6</v>
      </c>
      <c r="D50" s="12">
        <v>6</v>
      </c>
      <c r="E50" s="12">
        <v>2</v>
      </c>
      <c r="F50" s="12">
        <v>4</v>
      </c>
      <c r="G50" s="12">
        <v>15</v>
      </c>
      <c r="H50" s="12">
        <v>9</v>
      </c>
      <c r="I50" s="12">
        <v>3</v>
      </c>
      <c r="J50" s="13" t="s">
        <v>185</v>
      </c>
      <c r="K50" s="14">
        <v>240</v>
      </c>
      <c r="L50" s="13"/>
      <c r="P50" s="6" t="s">
        <v>243</v>
      </c>
      <c r="Q50" s="7">
        <v>56</v>
      </c>
    </row>
    <row r="51" spans="1:17" x14ac:dyDescent="0.3">
      <c r="A51" s="12" t="s">
        <v>162</v>
      </c>
      <c r="B51" s="12">
        <v>12</v>
      </c>
      <c r="C51" s="12">
        <v>7</v>
      </c>
      <c r="D51" s="12">
        <v>5</v>
      </c>
      <c r="E51" s="12">
        <v>1</v>
      </c>
      <c r="F51" s="12">
        <v>4</v>
      </c>
      <c r="G51" s="12">
        <v>12</v>
      </c>
      <c r="H51" s="12">
        <v>5</v>
      </c>
      <c r="I51" s="12">
        <v>0</v>
      </c>
      <c r="J51" s="13"/>
      <c r="K51" s="14"/>
      <c r="L51" s="13"/>
      <c r="P51" t="s">
        <v>64</v>
      </c>
      <c r="Q51">
        <v>12</v>
      </c>
    </row>
    <row r="52" spans="1:17" x14ac:dyDescent="0.3">
      <c r="A52" s="12" t="s">
        <v>138</v>
      </c>
      <c r="B52" s="12">
        <v>15</v>
      </c>
      <c r="C52" s="12">
        <v>4</v>
      </c>
      <c r="D52" s="12">
        <v>11</v>
      </c>
      <c r="E52" s="12">
        <v>3</v>
      </c>
      <c r="F52" s="12">
        <v>8</v>
      </c>
      <c r="G52" s="12">
        <v>26</v>
      </c>
      <c r="H52" s="12">
        <v>22</v>
      </c>
      <c r="I52" s="12">
        <v>11</v>
      </c>
      <c r="J52" s="13" t="s">
        <v>209</v>
      </c>
      <c r="K52" s="14">
        <v>308</v>
      </c>
      <c r="L52" s="13"/>
      <c r="P52" t="s">
        <v>36</v>
      </c>
      <c r="Q52">
        <v>17</v>
      </c>
    </row>
    <row r="53" spans="1:17" x14ac:dyDescent="0.3">
      <c r="A53" s="12" t="s">
        <v>141</v>
      </c>
      <c r="B53" s="12">
        <v>96</v>
      </c>
      <c r="C53" s="12">
        <v>50</v>
      </c>
      <c r="D53" s="12">
        <v>46</v>
      </c>
      <c r="E53" s="12">
        <v>12</v>
      </c>
      <c r="F53" s="12">
        <v>34</v>
      </c>
      <c r="G53" s="12">
        <v>109</v>
      </c>
      <c r="H53" s="12">
        <v>59</v>
      </c>
      <c r="I53" s="12">
        <v>13</v>
      </c>
      <c r="J53" s="13" t="s">
        <v>185</v>
      </c>
      <c r="K53" s="14">
        <v>150</v>
      </c>
      <c r="L53" s="13"/>
      <c r="P53" t="s">
        <v>53</v>
      </c>
      <c r="Q53">
        <v>8</v>
      </c>
    </row>
    <row r="54" spans="1:17" x14ac:dyDescent="0.3">
      <c r="A54" s="12" t="s">
        <v>137</v>
      </c>
      <c r="B54" s="12">
        <v>60</v>
      </c>
      <c r="C54" s="12">
        <v>30</v>
      </c>
      <c r="D54" s="12">
        <v>30</v>
      </c>
      <c r="E54" s="12">
        <v>8</v>
      </c>
      <c r="F54" s="12">
        <v>22</v>
      </c>
      <c r="G54" s="12">
        <v>71</v>
      </c>
      <c r="H54" s="12">
        <v>41</v>
      </c>
      <c r="I54" s="12">
        <v>11</v>
      </c>
      <c r="J54" s="13" t="s">
        <v>192</v>
      </c>
      <c r="K54" s="14">
        <v>240</v>
      </c>
      <c r="L54" s="13"/>
      <c r="P54" t="s">
        <v>56</v>
      </c>
      <c r="Q54">
        <v>10</v>
      </c>
    </row>
    <row r="55" spans="1:17" x14ac:dyDescent="0.3">
      <c r="A55" s="12" t="s">
        <v>139</v>
      </c>
      <c r="B55" s="12">
        <v>12</v>
      </c>
      <c r="C55" s="12">
        <v>6</v>
      </c>
      <c r="D55" s="12">
        <v>6</v>
      </c>
      <c r="E55" s="12">
        <v>2</v>
      </c>
      <c r="F55" s="12">
        <v>4</v>
      </c>
      <c r="G55" s="12">
        <v>15</v>
      </c>
      <c r="H55" s="12">
        <v>9</v>
      </c>
      <c r="I55" s="12">
        <v>3</v>
      </c>
      <c r="J55" s="13" t="s">
        <v>191</v>
      </c>
      <c r="K55" s="14">
        <v>60</v>
      </c>
      <c r="L55" s="13"/>
      <c r="P55" t="s">
        <v>29</v>
      </c>
      <c r="Q55">
        <v>12</v>
      </c>
    </row>
    <row r="56" spans="1:17" x14ac:dyDescent="0.3">
      <c r="A56" s="12" t="s">
        <v>140</v>
      </c>
      <c r="B56" s="12">
        <v>22</v>
      </c>
      <c r="C56" s="12">
        <v>5</v>
      </c>
      <c r="D56" s="12">
        <v>17</v>
      </c>
      <c r="E56" s="12">
        <v>4</v>
      </c>
      <c r="F56" s="12">
        <v>13</v>
      </c>
      <c r="G56" s="12">
        <v>41</v>
      </c>
      <c r="H56" s="12">
        <v>36</v>
      </c>
      <c r="I56" s="12">
        <v>19</v>
      </c>
      <c r="J56" s="13" t="s">
        <v>200</v>
      </c>
      <c r="K56" s="14">
        <v>266</v>
      </c>
      <c r="L56" s="13"/>
      <c r="P56" t="s">
        <v>90</v>
      </c>
      <c r="Q56">
        <v>15</v>
      </c>
    </row>
    <row r="57" spans="1:17" x14ac:dyDescent="0.3">
      <c r="A57" s="12" t="s">
        <v>31</v>
      </c>
      <c r="B57" s="12">
        <v>12</v>
      </c>
      <c r="C57" s="12">
        <v>6</v>
      </c>
      <c r="D57" s="12">
        <v>6</v>
      </c>
      <c r="E57" s="12">
        <v>2</v>
      </c>
      <c r="F57" s="12">
        <v>4</v>
      </c>
      <c r="G57" s="12">
        <v>15</v>
      </c>
      <c r="H57" s="12">
        <v>9</v>
      </c>
      <c r="I57" s="12">
        <v>3</v>
      </c>
      <c r="J57" s="13" t="s">
        <v>184</v>
      </c>
      <c r="K57" s="14">
        <v>70</v>
      </c>
      <c r="L57" s="13"/>
      <c r="P57" t="s">
        <v>145</v>
      </c>
      <c r="Q57">
        <v>15</v>
      </c>
    </row>
    <row r="58" spans="1:17" x14ac:dyDescent="0.3">
      <c r="A58" s="12" t="s">
        <v>30</v>
      </c>
      <c r="B58" s="12">
        <v>12</v>
      </c>
      <c r="C58" s="12">
        <v>7</v>
      </c>
      <c r="D58" s="12">
        <v>5</v>
      </c>
      <c r="E58" s="12">
        <v>1</v>
      </c>
      <c r="F58" s="12">
        <v>4</v>
      </c>
      <c r="G58" s="12">
        <v>12</v>
      </c>
      <c r="H58" s="12">
        <v>5</v>
      </c>
      <c r="I58" s="12">
        <v>0</v>
      </c>
      <c r="J58" s="13"/>
      <c r="K58" s="14"/>
      <c r="L58" s="13"/>
      <c r="P58" t="s">
        <v>147</v>
      </c>
      <c r="Q58">
        <v>34</v>
      </c>
    </row>
    <row r="59" spans="1:17" x14ac:dyDescent="0.3">
      <c r="A59" s="12" t="s">
        <v>12</v>
      </c>
      <c r="B59" s="12">
        <v>6</v>
      </c>
      <c r="C59" s="12">
        <v>4</v>
      </c>
      <c r="D59" s="12">
        <v>2</v>
      </c>
      <c r="E59" s="12">
        <v>0</v>
      </c>
      <c r="F59" s="12">
        <v>2</v>
      </c>
      <c r="G59" s="12">
        <v>6</v>
      </c>
      <c r="H59" s="12">
        <v>2</v>
      </c>
      <c r="I59" s="12">
        <v>0</v>
      </c>
      <c r="J59" s="13"/>
      <c r="K59" s="14"/>
      <c r="L59" s="13"/>
      <c r="P59" t="s">
        <v>144</v>
      </c>
      <c r="Q59">
        <v>57</v>
      </c>
    </row>
    <row r="60" spans="1:17" x14ac:dyDescent="0.3">
      <c r="A60" s="12" t="s">
        <v>13</v>
      </c>
      <c r="B60" s="12">
        <v>8</v>
      </c>
      <c r="C60" s="12">
        <v>4</v>
      </c>
      <c r="D60" s="12">
        <v>4</v>
      </c>
      <c r="E60" s="12">
        <v>1</v>
      </c>
      <c r="F60" s="12">
        <v>3</v>
      </c>
      <c r="G60" s="12">
        <v>10</v>
      </c>
      <c r="H60" s="12">
        <v>6</v>
      </c>
      <c r="I60" s="12">
        <v>2</v>
      </c>
      <c r="J60" s="13" t="s">
        <v>180</v>
      </c>
      <c r="K60" s="14">
        <v>50</v>
      </c>
      <c r="L60" s="13"/>
      <c r="P60" t="s">
        <v>143</v>
      </c>
      <c r="Q60">
        <v>24</v>
      </c>
    </row>
    <row r="61" spans="1:17" x14ac:dyDescent="0.3">
      <c r="A61" s="12" t="s">
        <v>73</v>
      </c>
      <c r="B61" s="12">
        <v>12</v>
      </c>
      <c r="C61" s="12">
        <v>8</v>
      </c>
      <c r="D61" s="12">
        <v>4</v>
      </c>
      <c r="E61" s="12">
        <v>1</v>
      </c>
      <c r="F61" s="12">
        <v>3</v>
      </c>
      <c r="G61" s="12">
        <v>12</v>
      </c>
      <c r="H61" s="12">
        <v>4</v>
      </c>
      <c r="I61" s="12">
        <v>0</v>
      </c>
      <c r="J61" s="13"/>
      <c r="K61" s="14"/>
      <c r="L61" s="13"/>
      <c r="P61" t="s">
        <v>142</v>
      </c>
      <c r="Q61">
        <v>50</v>
      </c>
    </row>
    <row r="62" spans="1:17" x14ac:dyDescent="0.3">
      <c r="A62" s="12" t="s">
        <v>68</v>
      </c>
      <c r="B62" s="12">
        <v>15</v>
      </c>
      <c r="C62" s="12">
        <v>5</v>
      </c>
      <c r="D62" s="12">
        <v>10</v>
      </c>
      <c r="E62" s="12">
        <v>2</v>
      </c>
      <c r="F62" s="12">
        <v>8</v>
      </c>
      <c r="G62" s="12">
        <v>24</v>
      </c>
      <c r="H62" s="12">
        <v>19</v>
      </c>
      <c r="I62" s="12">
        <v>9</v>
      </c>
      <c r="J62" s="13" t="s">
        <v>195</v>
      </c>
      <c r="K62" s="14">
        <v>108</v>
      </c>
      <c r="L62" s="13"/>
      <c r="P62" t="s">
        <v>146</v>
      </c>
      <c r="Q62">
        <v>15</v>
      </c>
    </row>
    <row r="63" spans="1:17" x14ac:dyDescent="0.3">
      <c r="A63" s="12" t="s">
        <v>57</v>
      </c>
      <c r="B63" s="12">
        <v>6</v>
      </c>
      <c r="C63" s="12">
        <v>4</v>
      </c>
      <c r="D63" s="12">
        <v>2</v>
      </c>
      <c r="E63" s="12">
        <v>0</v>
      </c>
      <c r="F63" s="12">
        <v>2</v>
      </c>
      <c r="G63" s="12">
        <v>6</v>
      </c>
      <c r="H63" s="12">
        <v>2</v>
      </c>
      <c r="I63" s="12">
        <v>0</v>
      </c>
      <c r="J63" s="13"/>
      <c r="K63" s="14"/>
      <c r="L63" s="13"/>
      <c r="P63" t="s">
        <v>10</v>
      </c>
      <c r="Q63">
        <v>12</v>
      </c>
    </row>
    <row r="64" spans="1:17" x14ac:dyDescent="0.3">
      <c r="A64" s="12" t="s">
        <v>110</v>
      </c>
      <c r="B64" s="12">
        <v>12</v>
      </c>
      <c r="C64" s="12">
        <v>6</v>
      </c>
      <c r="D64" s="12">
        <v>6</v>
      </c>
      <c r="E64" s="12">
        <v>2</v>
      </c>
      <c r="F64" s="12">
        <v>4</v>
      </c>
      <c r="G64" s="12">
        <v>15</v>
      </c>
      <c r="H64" s="12">
        <v>9</v>
      </c>
      <c r="I64" s="12">
        <v>3</v>
      </c>
      <c r="J64" s="13" t="s">
        <v>191</v>
      </c>
      <c r="K64" s="14">
        <v>51</v>
      </c>
      <c r="L64" s="13"/>
      <c r="P64" t="s">
        <v>50</v>
      </c>
      <c r="Q64">
        <v>22</v>
      </c>
    </row>
    <row r="65" spans="1:17" x14ac:dyDescent="0.3">
      <c r="A65" s="12" t="s">
        <v>108</v>
      </c>
      <c r="B65" s="12">
        <v>24</v>
      </c>
      <c r="C65" s="12">
        <v>6</v>
      </c>
      <c r="D65" s="12">
        <v>18</v>
      </c>
      <c r="E65" s="12">
        <v>4</v>
      </c>
      <c r="F65" s="12">
        <v>14</v>
      </c>
      <c r="G65" s="12">
        <v>43</v>
      </c>
      <c r="H65" s="12">
        <v>37</v>
      </c>
      <c r="I65" s="12">
        <v>19</v>
      </c>
      <c r="J65" s="13" t="s">
        <v>185</v>
      </c>
      <c r="K65" s="14">
        <v>380</v>
      </c>
      <c r="L65" s="13"/>
      <c r="P65" t="s">
        <v>92</v>
      </c>
      <c r="Q65">
        <v>24</v>
      </c>
    </row>
    <row r="66" spans="1:17" x14ac:dyDescent="0.3">
      <c r="A66" s="12" t="s">
        <v>116</v>
      </c>
      <c r="B66" s="12">
        <v>16</v>
      </c>
      <c r="C66" s="12">
        <v>8</v>
      </c>
      <c r="D66" s="12">
        <v>8</v>
      </c>
      <c r="E66" s="12">
        <v>2</v>
      </c>
      <c r="F66" s="12">
        <v>6</v>
      </c>
      <c r="G66" s="12">
        <v>19</v>
      </c>
      <c r="H66" s="12">
        <v>11</v>
      </c>
      <c r="I66" s="12">
        <v>3</v>
      </c>
      <c r="J66" s="13" t="s">
        <v>191</v>
      </c>
      <c r="K66" s="14">
        <v>54</v>
      </c>
      <c r="L66" s="13"/>
      <c r="P66" t="s">
        <v>88</v>
      </c>
      <c r="Q66">
        <v>22</v>
      </c>
    </row>
    <row r="67" spans="1:17" x14ac:dyDescent="0.3">
      <c r="A67" s="12" t="s">
        <v>114</v>
      </c>
      <c r="B67" s="12">
        <v>10</v>
      </c>
      <c r="C67" s="12">
        <v>5</v>
      </c>
      <c r="D67" s="12">
        <v>5</v>
      </c>
      <c r="E67" s="12">
        <v>1</v>
      </c>
      <c r="F67" s="12">
        <v>4</v>
      </c>
      <c r="G67" s="12">
        <v>12</v>
      </c>
      <c r="H67" s="12">
        <v>7</v>
      </c>
      <c r="I67" s="12">
        <v>2</v>
      </c>
      <c r="J67" s="13" t="s">
        <v>187</v>
      </c>
      <c r="K67" s="14">
        <v>64</v>
      </c>
      <c r="L67" s="13"/>
      <c r="P67" t="s">
        <v>87</v>
      </c>
      <c r="Q67">
        <v>24</v>
      </c>
    </row>
    <row r="68" spans="1:17" ht="15" thickBot="1" x14ac:dyDescent="0.35">
      <c r="A68" s="12" t="s">
        <v>113</v>
      </c>
      <c r="B68" s="12">
        <v>14</v>
      </c>
      <c r="C68" s="12">
        <v>5</v>
      </c>
      <c r="D68" s="12">
        <v>9</v>
      </c>
      <c r="E68" s="12">
        <v>2</v>
      </c>
      <c r="F68" s="12">
        <v>7</v>
      </c>
      <c r="G68" s="12">
        <v>22</v>
      </c>
      <c r="H68" s="12">
        <v>17</v>
      </c>
      <c r="I68" s="12">
        <v>8</v>
      </c>
      <c r="J68" s="13" t="s">
        <v>201</v>
      </c>
      <c r="K68" s="14">
        <v>184</v>
      </c>
      <c r="L68" s="13"/>
      <c r="P68" t="s">
        <v>91</v>
      </c>
      <c r="Q68">
        <v>24</v>
      </c>
    </row>
    <row r="69" spans="1:17" ht="15" thickTop="1" x14ac:dyDescent="0.3">
      <c r="A69" s="15" t="s">
        <v>214</v>
      </c>
      <c r="B69" s="15"/>
      <c r="C69" s="15"/>
      <c r="D69" s="15"/>
      <c r="E69" s="15"/>
      <c r="F69" s="15"/>
      <c r="G69" s="15"/>
      <c r="H69" s="15"/>
      <c r="I69" s="15"/>
      <c r="J69" s="16"/>
      <c r="K69" s="17">
        <f>SUM(K48:K68)</f>
        <v>2270</v>
      </c>
      <c r="L69" s="13"/>
      <c r="P69" t="s">
        <v>65</v>
      </c>
      <c r="Q69">
        <v>12</v>
      </c>
    </row>
    <row r="70" spans="1:17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3"/>
      <c r="K70" s="14"/>
      <c r="L70" s="13"/>
      <c r="P70" t="s">
        <v>15</v>
      </c>
      <c r="Q70">
        <v>15</v>
      </c>
    </row>
    <row r="71" spans="1:17" x14ac:dyDescent="0.3">
      <c r="A71" s="12" t="s">
        <v>115</v>
      </c>
      <c r="B71" s="12">
        <v>16</v>
      </c>
      <c r="C71" s="12">
        <v>8</v>
      </c>
      <c r="D71" s="12">
        <v>8</v>
      </c>
      <c r="E71" s="12">
        <v>2</v>
      </c>
      <c r="F71" s="12">
        <v>6</v>
      </c>
      <c r="G71" s="12">
        <v>19</v>
      </c>
      <c r="H71" s="12">
        <v>11</v>
      </c>
      <c r="I71" s="12">
        <v>3</v>
      </c>
      <c r="J71" s="13" t="s">
        <v>191</v>
      </c>
      <c r="K71" s="14">
        <v>60</v>
      </c>
      <c r="L71" s="13"/>
      <c r="P71" t="s">
        <v>14</v>
      </c>
      <c r="Q71">
        <v>12</v>
      </c>
    </row>
    <row r="72" spans="1:17" x14ac:dyDescent="0.3">
      <c r="A72" s="12" t="s">
        <v>106</v>
      </c>
      <c r="B72" s="12">
        <v>24</v>
      </c>
      <c r="C72" s="12">
        <v>4</v>
      </c>
      <c r="D72" s="12">
        <v>20</v>
      </c>
      <c r="E72" s="12">
        <v>5</v>
      </c>
      <c r="F72" s="12">
        <v>15</v>
      </c>
      <c r="G72" s="12">
        <v>48</v>
      </c>
      <c r="H72" s="12">
        <v>44</v>
      </c>
      <c r="I72" s="12">
        <v>24</v>
      </c>
      <c r="J72" s="13" t="s">
        <v>185</v>
      </c>
      <c r="K72" s="14">
        <v>120</v>
      </c>
      <c r="L72" s="13"/>
      <c r="P72" t="s">
        <v>93</v>
      </c>
      <c r="Q72">
        <v>15</v>
      </c>
    </row>
    <row r="73" spans="1:17" x14ac:dyDescent="0.3">
      <c r="A73" s="12" t="s">
        <v>105</v>
      </c>
      <c r="B73" s="12">
        <v>24</v>
      </c>
      <c r="C73" s="12">
        <v>4</v>
      </c>
      <c r="D73" s="12">
        <v>20</v>
      </c>
      <c r="E73" s="12">
        <v>5</v>
      </c>
      <c r="F73" s="12">
        <v>15</v>
      </c>
      <c r="G73" s="12">
        <v>48</v>
      </c>
      <c r="H73" s="12">
        <v>44</v>
      </c>
      <c r="I73" s="12">
        <v>24</v>
      </c>
      <c r="J73" s="13" t="s">
        <v>184</v>
      </c>
      <c r="K73" s="14">
        <v>120</v>
      </c>
      <c r="L73" s="13"/>
      <c r="P73" t="s">
        <v>34</v>
      </c>
      <c r="Q73">
        <v>12</v>
      </c>
    </row>
    <row r="74" spans="1:17" x14ac:dyDescent="0.3">
      <c r="A74" s="12" t="s">
        <v>112</v>
      </c>
      <c r="B74" s="12">
        <v>16</v>
      </c>
      <c r="C74" s="12">
        <v>0</v>
      </c>
      <c r="D74" s="12">
        <v>16</v>
      </c>
      <c r="E74" s="12">
        <v>4</v>
      </c>
      <c r="F74" s="12">
        <v>12</v>
      </c>
      <c r="G74" s="12">
        <v>38</v>
      </c>
      <c r="H74" s="12">
        <v>38</v>
      </c>
      <c r="I74" s="12">
        <v>22</v>
      </c>
      <c r="J74" s="13" t="s">
        <v>197</v>
      </c>
      <c r="K74" s="14">
        <v>506</v>
      </c>
      <c r="L74" s="13"/>
      <c r="P74" t="s">
        <v>163</v>
      </c>
      <c r="Q74">
        <v>15</v>
      </c>
    </row>
    <row r="75" spans="1:17" x14ac:dyDescent="0.3">
      <c r="A75" s="12" t="s">
        <v>109</v>
      </c>
      <c r="B75" s="12">
        <v>12</v>
      </c>
      <c r="C75" s="12">
        <v>6</v>
      </c>
      <c r="D75" s="12">
        <v>6</v>
      </c>
      <c r="E75" s="12">
        <v>2</v>
      </c>
      <c r="F75" s="12">
        <v>4</v>
      </c>
      <c r="G75" s="12">
        <v>15</v>
      </c>
      <c r="H75" s="12">
        <v>9</v>
      </c>
      <c r="I75" s="12">
        <v>3</v>
      </c>
      <c r="J75" s="13" t="s">
        <v>191</v>
      </c>
      <c r="K75" s="14">
        <v>51</v>
      </c>
      <c r="L75" s="13"/>
      <c r="P75" t="s">
        <v>162</v>
      </c>
      <c r="Q75">
        <v>12</v>
      </c>
    </row>
    <row r="76" spans="1:17" x14ac:dyDescent="0.3">
      <c r="A76" s="12" t="s">
        <v>107</v>
      </c>
      <c r="B76" s="12">
        <v>24</v>
      </c>
      <c r="C76" s="12">
        <v>3</v>
      </c>
      <c r="D76" s="12">
        <v>21</v>
      </c>
      <c r="E76" s="12">
        <v>5</v>
      </c>
      <c r="F76" s="12">
        <v>16</v>
      </c>
      <c r="G76" s="12">
        <v>50</v>
      </c>
      <c r="H76" s="12">
        <v>47</v>
      </c>
      <c r="I76" s="12">
        <v>26</v>
      </c>
      <c r="J76" s="13" t="s">
        <v>185</v>
      </c>
      <c r="K76" s="14">
        <v>315</v>
      </c>
      <c r="L76" s="13"/>
      <c r="P76" t="s">
        <v>138</v>
      </c>
      <c r="Q76">
        <v>26</v>
      </c>
    </row>
    <row r="77" spans="1:17" x14ac:dyDescent="0.3">
      <c r="A77" s="12" t="s">
        <v>55</v>
      </c>
      <c r="B77" s="12">
        <v>6</v>
      </c>
      <c r="C77" s="12">
        <v>2</v>
      </c>
      <c r="D77" s="12">
        <v>4</v>
      </c>
      <c r="E77" s="12">
        <v>1</v>
      </c>
      <c r="F77" s="12">
        <v>3</v>
      </c>
      <c r="G77" s="12">
        <v>10</v>
      </c>
      <c r="H77" s="12">
        <v>8</v>
      </c>
      <c r="I77" s="12">
        <v>4</v>
      </c>
      <c r="J77" s="13" t="s">
        <v>190</v>
      </c>
      <c r="K77" s="14">
        <v>60</v>
      </c>
      <c r="L77" s="13"/>
      <c r="P77" t="s">
        <v>141</v>
      </c>
      <c r="Q77">
        <v>109</v>
      </c>
    </row>
    <row r="78" spans="1:17" x14ac:dyDescent="0.3">
      <c r="A78" s="12" t="s">
        <v>75</v>
      </c>
      <c r="B78" s="12">
        <v>6</v>
      </c>
      <c r="C78" s="12">
        <v>2</v>
      </c>
      <c r="D78" s="12">
        <v>4</v>
      </c>
      <c r="E78" s="12">
        <v>1</v>
      </c>
      <c r="F78" s="12">
        <v>3</v>
      </c>
      <c r="G78" s="12">
        <v>10</v>
      </c>
      <c r="H78" s="12">
        <v>8</v>
      </c>
      <c r="I78" s="12">
        <v>4</v>
      </c>
      <c r="J78" s="13" t="s">
        <v>190</v>
      </c>
      <c r="K78" s="14">
        <v>48</v>
      </c>
      <c r="L78" s="13"/>
      <c r="P78" t="s">
        <v>137</v>
      </c>
      <c r="Q78">
        <v>71</v>
      </c>
    </row>
    <row r="79" spans="1:17" x14ac:dyDescent="0.3">
      <c r="A79" s="12" t="s">
        <v>42</v>
      </c>
      <c r="B79" s="12">
        <v>8</v>
      </c>
      <c r="C79" s="12">
        <v>2</v>
      </c>
      <c r="D79" s="12">
        <v>6</v>
      </c>
      <c r="E79" s="12">
        <v>2</v>
      </c>
      <c r="F79" s="12">
        <v>4</v>
      </c>
      <c r="G79" s="12">
        <v>15</v>
      </c>
      <c r="H79" s="12">
        <v>13</v>
      </c>
      <c r="I79" s="12">
        <v>7</v>
      </c>
      <c r="J79" s="13" t="s">
        <v>189</v>
      </c>
      <c r="K79" s="14">
        <v>112</v>
      </c>
      <c r="L79" s="13"/>
      <c r="P79" t="s">
        <v>139</v>
      </c>
      <c r="Q79">
        <v>15</v>
      </c>
    </row>
    <row r="80" spans="1:17" x14ac:dyDescent="0.3">
      <c r="A80" s="12" t="s">
        <v>123</v>
      </c>
      <c r="B80" s="12">
        <v>6</v>
      </c>
      <c r="C80" s="12">
        <v>1</v>
      </c>
      <c r="D80" s="12">
        <v>5</v>
      </c>
      <c r="E80" s="12">
        <v>1</v>
      </c>
      <c r="F80" s="12">
        <v>4</v>
      </c>
      <c r="G80" s="12">
        <v>12</v>
      </c>
      <c r="H80" s="12">
        <v>11</v>
      </c>
      <c r="I80" s="12">
        <v>6</v>
      </c>
      <c r="J80" s="13" t="s">
        <v>205</v>
      </c>
      <c r="K80" s="14">
        <v>180</v>
      </c>
      <c r="L80" s="13"/>
      <c r="P80" t="s">
        <v>140</v>
      </c>
      <c r="Q80">
        <v>41</v>
      </c>
    </row>
    <row r="81" spans="1:17" x14ac:dyDescent="0.3">
      <c r="A81" s="12" t="s">
        <v>125</v>
      </c>
      <c r="B81" s="12">
        <v>12</v>
      </c>
      <c r="C81" s="12">
        <v>6</v>
      </c>
      <c r="D81" s="12">
        <v>6</v>
      </c>
      <c r="E81" s="12">
        <v>2</v>
      </c>
      <c r="F81" s="12">
        <v>4</v>
      </c>
      <c r="G81" s="12">
        <v>15</v>
      </c>
      <c r="H81" s="12">
        <v>9</v>
      </c>
      <c r="I81" s="12">
        <v>3</v>
      </c>
      <c r="J81" s="13" t="s">
        <v>185</v>
      </c>
      <c r="K81" s="14">
        <v>180</v>
      </c>
      <c r="L81" s="13"/>
      <c r="P81" t="s">
        <v>31</v>
      </c>
      <c r="Q81">
        <v>15</v>
      </c>
    </row>
    <row r="82" spans="1:17" x14ac:dyDescent="0.3">
      <c r="A82" s="12" t="s">
        <v>122</v>
      </c>
      <c r="B82" s="12">
        <v>12</v>
      </c>
      <c r="C82" s="12">
        <v>0</v>
      </c>
      <c r="D82" s="12">
        <v>12</v>
      </c>
      <c r="E82" s="12">
        <v>3</v>
      </c>
      <c r="F82" s="12">
        <v>9</v>
      </c>
      <c r="G82" s="12">
        <v>29</v>
      </c>
      <c r="H82" s="12">
        <v>29</v>
      </c>
      <c r="I82" s="12">
        <v>17</v>
      </c>
      <c r="J82" s="13" t="s">
        <v>204</v>
      </c>
      <c r="K82" s="14">
        <v>357</v>
      </c>
      <c r="L82" s="13"/>
      <c r="P82" t="s">
        <v>30</v>
      </c>
      <c r="Q82">
        <v>12</v>
      </c>
    </row>
    <row r="83" spans="1:17" x14ac:dyDescent="0.3">
      <c r="A83" s="12" t="s">
        <v>124</v>
      </c>
      <c r="B83" s="12">
        <v>13</v>
      </c>
      <c r="C83" s="12">
        <v>2</v>
      </c>
      <c r="D83" s="12">
        <v>11</v>
      </c>
      <c r="E83" s="12">
        <v>3</v>
      </c>
      <c r="F83" s="12">
        <v>8</v>
      </c>
      <c r="G83" s="12">
        <v>26</v>
      </c>
      <c r="H83" s="12">
        <v>24</v>
      </c>
      <c r="I83" s="12">
        <v>13</v>
      </c>
      <c r="J83" s="13" t="s">
        <v>206</v>
      </c>
      <c r="K83" s="14">
        <v>182</v>
      </c>
      <c r="L83" s="13"/>
      <c r="P83" t="s">
        <v>12</v>
      </c>
      <c r="Q83">
        <v>6</v>
      </c>
    </row>
    <row r="84" spans="1:17" x14ac:dyDescent="0.3">
      <c r="A84" s="12" t="s">
        <v>23</v>
      </c>
      <c r="B84" s="12">
        <v>24</v>
      </c>
      <c r="C84" s="12">
        <v>12</v>
      </c>
      <c r="D84" s="12">
        <v>12</v>
      </c>
      <c r="E84" s="12">
        <v>3</v>
      </c>
      <c r="F84" s="12">
        <v>9</v>
      </c>
      <c r="G84" s="12">
        <v>29</v>
      </c>
      <c r="H84" s="12">
        <v>17</v>
      </c>
      <c r="I84" s="12">
        <v>5</v>
      </c>
      <c r="J84" s="13" t="s">
        <v>184</v>
      </c>
      <c r="K84" s="14">
        <v>45</v>
      </c>
      <c r="L84" s="13"/>
      <c r="P84" t="s">
        <v>13</v>
      </c>
      <c r="Q84">
        <v>10</v>
      </c>
    </row>
    <row r="85" spans="1:17" x14ac:dyDescent="0.3">
      <c r="A85" s="12" t="s">
        <v>25</v>
      </c>
      <c r="B85" s="12">
        <v>5</v>
      </c>
      <c r="C85" s="12">
        <v>3</v>
      </c>
      <c r="D85" s="12">
        <v>2</v>
      </c>
      <c r="E85" s="12">
        <v>0</v>
      </c>
      <c r="F85" s="12">
        <v>2</v>
      </c>
      <c r="G85" s="12">
        <v>5</v>
      </c>
      <c r="H85" s="12">
        <v>2</v>
      </c>
      <c r="I85" s="12">
        <v>0</v>
      </c>
      <c r="J85" s="13"/>
      <c r="K85" s="14"/>
      <c r="L85" s="13"/>
      <c r="P85" t="s">
        <v>73</v>
      </c>
      <c r="Q85">
        <v>12</v>
      </c>
    </row>
    <row r="86" spans="1:17" x14ac:dyDescent="0.3">
      <c r="A86" s="12" t="s">
        <v>24</v>
      </c>
      <c r="B86" s="12">
        <v>24</v>
      </c>
      <c r="C86" s="12">
        <v>15</v>
      </c>
      <c r="D86" s="12">
        <v>9</v>
      </c>
      <c r="E86" s="12">
        <v>2</v>
      </c>
      <c r="F86" s="12">
        <v>7</v>
      </c>
      <c r="G86" s="12">
        <v>24</v>
      </c>
      <c r="H86" s="12">
        <v>9</v>
      </c>
      <c r="I86" s="12">
        <v>0</v>
      </c>
      <c r="J86" s="13"/>
      <c r="K86" s="14"/>
      <c r="L86" s="13"/>
      <c r="P86" t="s">
        <v>68</v>
      </c>
      <c r="Q86">
        <v>24</v>
      </c>
    </row>
    <row r="87" spans="1:17" x14ac:dyDescent="0.3">
      <c r="A87" s="12" t="s">
        <v>82</v>
      </c>
      <c r="B87" s="12">
        <v>24</v>
      </c>
      <c r="C87" s="12">
        <v>12</v>
      </c>
      <c r="D87" s="12">
        <v>12</v>
      </c>
      <c r="E87" s="12">
        <v>3</v>
      </c>
      <c r="F87" s="12">
        <v>9</v>
      </c>
      <c r="G87" s="12">
        <v>29</v>
      </c>
      <c r="H87" s="12">
        <v>17</v>
      </c>
      <c r="I87" s="12">
        <v>5</v>
      </c>
      <c r="J87" s="13" t="s">
        <v>185</v>
      </c>
      <c r="K87" s="14">
        <v>55</v>
      </c>
      <c r="L87" s="13"/>
      <c r="P87" t="s">
        <v>57</v>
      </c>
      <c r="Q87">
        <v>6</v>
      </c>
    </row>
    <row r="88" spans="1:17" x14ac:dyDescent="0.3">
      <c r="A88" s="12" t="s">
        <v>83</v>
      </c>
      <c r="B88" s="12">
        <v>24</v>
      </c>
      <c r="C88" s="12">
        <v>12</v>
      </c>
      <c r="D88" s="12">
        <v>12</v>
      </c>
      <c r="E88" s="12">
        <v>3</v>
      </c>
      <c r="F88" s="12">
        <v>9</v>
      </c>
      <c r="G88" s="12">
        <v>29</v>
      </c>
      <c r="H88" s="12">
        <v>17</v>
      </c>
      <c r="I88" s="12">
        <v>5</v>
      </c>
      <c r="J88" s="13" t="s">
        <v>196</v>
      </c>
      <c r="K88" s="14">
        <v>45</v>
      </c>
      <c r="L88" s="13"/>
      <c r="P88" t="s">
        <v>110</v>
      </c>
      <c r="Q88">
        <v>15</v>
      </c>
    </row>
    <row r="89" spans="1:17" x14ac:dyDescent="0.3">
      <c r="A89" s="12" t="s">
        <v>74</v>
      </c>
      <c r="B89" s="12">
        <v>5</v>
      </c>
      <c r="C89" s="12">
        <v>3</v>
      </c>
      <c r="D89" s="12">
        <v>2</v>
      </c>
      <c r="E89" s="12">
        <v>0</v>
      </c>
      <c r="F89" s="12">
        <v>2</v>
      </c>
      <c r="G89" s="12">
        <v>5</v>
      </c>
      <c r="H89" s="12">
        <v>2</v>
      </c>
      <c r="I89" s="12">
        <v>0</v>
      </c>
      <c r="J89" s="13"/>
      <c r="K89" s="14"/>
      <c r="L89" s="13"/>
      <c r="P89" t="s">
        <v>108</v>
      </c>
      <c r="Q89">
        <v>43</v>
      </c>
    </row>
    <row r="90" spans="1:17" x14ac:dyDescent="0.3">
      <c r="A90" s="12" t="s">
        <v>59</v>
      </c>
      <c r="B90" s="12">
        <v>12</v>
      </c>
      <c r="C90" s="12">
        <v>6</v>
      </c>
      <c r="D90" s="12">
        <v>6</v>
      </c>
      <c r="E90" s="12">
        <v>2</v>
      </c>
      <c r="F90" s="12">
        <v>4</v>
      </c>
      <c r="G90" s="12">
        <v>15</v>
      </c>
      <c r="H90" s="12">
        <v>9</v>
      </c>
      <c r="I90" s="12">
        <v>3</v>
      </c>
      <c r="J90" s="13" t="s">
        <v>191</v>
      </c>
      <c r="K90" s="14">
        <v>36</v>
      </c>
      <c r="L90" s="13"/>
      <c r="P90" t="s">
        <v>116</v>
      </c>
      <c r="Q90">
        <v>19</v>
      </c>
    </row>
    <row r="91" spans="1:17" ht="15" thickBot="1" x14ac:dyDescent="0.35">
      <c r="A91" s="12" t="s">
        <v>70</v>
      </c>
      <c r="B91" s="12">
        <v>12</v>
      </c>
      <c r="C91" s="12">
        <v>5</v>
      </c>
      <c r="D91" s="12">
        <v>7</v>
      </c>
      <c r="E91" s="12">
        <v>2</v>
      </c>
      <c r="F91" s="12">
        <v>5</v>
      </c>
      <c r="G91" s="12">
        <v>17</v>
      </c>
      <c r="H91" s="12">
        <v>12</v>
      </c>
      <c r="I91" s="12">
        <v>5</v>
      </c>
      <c r="J91" s="13" t="s">
        <v>181</v>
      </c>
      <c r="K91" s="14">
        <v>40</v>
      </c>
      <c r="L91" s="13"/>
      <c r="P91" t="s">
        <v>114</v>
      </c>
      <c r="Q91">
        <v>12</v>
      </c>
    </row>
    <row r="92" spans="1:17" ht="15" thickTop="1" x14ac:dyDescent="0.3">
      <c r="A92" s="15" t="s">
        <v>214</v>
      </c>
      <c r="B92" s="15"/>
      <c r="C92" s="15"/>
      <c r="D92" s="15"/>
      <c r="E92" s="15"/>
      <c r="F92" s="15"/>
      <c r="G92" s="15"/>
      <c r="H92" s="15"/>
      <c r="I92" s="15"/>
      <c r="J92" s="16"/>
      <c r="K92" s="17">
        <f>SUM(K71:K91)</f>
        <v>2512</v>
      </c>
      <c r="L92" s="13"/>
      <c r="P92" t="s">
        <v>113</v>
      </c>
      <c r="Q92">
        <v>22</v>
      </c>
    </row>
    <row r="93" spans="1:17" x14ac:dyDescent="0.3">
      <c r="A93" s="12"/>
      <c r="B93" s="12"/>
      <c r="C93" s="12"/>
      <c r="D93" s="12"/>
      <c r="E93" s="12"/>
      <c r="F93" s="12"/>
      <c r="G93" s="12"/>
      <c r="H93" s="12"/>
      <c r="I93" s="12"/>
      <c r="J93" s="13"/>
      <c r="K93" s="14"/>
      <c r="L93" s="13"/>
      <c r="P93" t="s">
        <v>115</v>
      </c>
      <c r="Q93">
        <v>19</v>
      </c>
    </row>
    <row r="94" spans="1:17" x14ac:dyDescent="0.3">
      <c r="A94" s="12" t="s">
        <v>62</v>
      </c>
      <c r="B94" s="12">
        <v>12</v>
      </c>
      <c r="C94" s="12">
        <v>6</v>
      </c>
      <c r="D94" s="12">
        <v>6</v>
      </c>
      <c r="E94" s="12">
        <v>2</v>
      </c>
      <c r="F94" s="12">
        <v>4</v>
      </c>
      <c r="G94" s="12">
        <v>15</v>
      </c>
      <c r="H94" s="12">
        <v>9</v>
      </c>
      <c r="I94" s="12">
        <v>3</v>
      </c>
      <c r="J94" s="13" t="s">
        <v>193</v>
      </c>
      <c r="K94" s="14">
        <v>21</v>
      </c>
      <c r="L94" s="13"/>
      <c r="P94" t="s">
        <v>106</v>
      </c>
      <c r="Q94">
        <v>48</v>
      </c>
    </row>
    <row r="95" spans="1:17" x14ac:dyDescent="0.3">
      <c r="A95" s="12" t="s">
        <v>164</v>
      </c>
      <c r="B95" s="12">
        <v>144</v>
      </c>
      <c r="C95" s="12">
        <v>80</v>
      </c>
      <c r="D95" s="12">
        <v>64</v>
      </c>
      <c r="E95" s="12">
        <v>16</v>
      </c>
      <c r="F95" s="12">
        <v>48</v>
      </c>
      <c r="G95" s="12">
        <v>152</v>
      </c>
      <c r="H95" s="12">
        <v>72</v>
      </c>
      <c r="I95" s="12">
        <v>8</v>
      </c>
      <c r="J95" s="13" t="s">
        <v>185</v>
      </c>
      <c r="K95" s="14">
        <v>180</v>
      </c>
      <c r="L95" s="13"/>
      <c r="P95" t="s">
        <v>105</v>
      </c>
      <c r="Q95">
        <v>48</v>
      </c>
    </row>
    <row r="96" spans="1:17" x14ac:dyDescent="0.3">
      <c r="A96" s="12" t="s">
        <v>173</v>
      </c>
      <c r="B96" s="12">
        <v>24</v>
      </c>
      <c r="C96" s="12">
        <v>12</v>
      </c>
      <c r="D96" s="12">
        <v>12</v>
      </c>
      <c r="E96" s="12">
        <v>3</v>
      </c>
      <c r="F96" s="12">
        <v>9</v>
      </c>
      <c r="G96" s="12">
        <v>29</v>
      </c>
      <c r="H96" s="12">
        <v>17</v>
      </c>
      <c r="I96" s="12">
        <v>5</v>
      </c>
      <c r="J96" s="13" t="s">
        <v>211</v>
      </c>
      <c r="K96" s="14">
        <v>120</v>
      </c>
      <c r="L96" s="13"/>
      <c r="P96" t="s">
        <v>112</v>
      </c>
      <c r="Q96">
        <v>38</v>
      </c>
    </row>
    <row r="97" spans="1:17" x14ac:dyDescent="0.3">
      <c r="A97" s="12" t="s">
        <v>8</v>
      </c>
      <c r="B97" s="12">
        <v>10</v>
      </c>
      <c r="C97" s="12">
        <v>5</v>
      </c>
      <c r="D97" s="12">
        <v>5</v>
      </c>
      <c r="E97" s="12">
        <v>1</v>
      </c>
      <c r="F97" s="12">
        <v>4</v>
      </c>
      <c r="G97" s="12">
        <v>12</v>
      </c>
      <c r="H97" s="12">
        <v>7</v>
      </c>
      <c r="I97" s="12">
        <v>2</v>
      </c>
      <c r="J97" s="13" t="s">
        <v>180</v>
      </c>
      <c r="K97" s="14">
        <v>70</v>
      </c>
      <c r="L97" s="13"/>
      <c r="P97" t="s">
        <v>109</v>
      </c>
      <c r="Q97">
        <v>15</v>
      </c>
    </row>
    <row r="98" spans="1:17" x14ac:dyDescent="0.3">
      <c r="A98" s="12" t="s">
        <v>71</v>
      </c>
      <c r="B98" s="12">
        <v>12</v>
      </c>
      <c r="C98" s="12">
        <v>6</v>
      </c>
      <c r="D98" s="12">
        <v>6</v>
      </c>
      <c r="E98" s="12">
        <v>2</v>
      </c>
      <c r="F98" s="12">
        <v>4</v>
      </c>
      <c r="G98" s="12">
        <v>15</v>
      </c>
      <c r="H98" s="12">
        <v>9</v>
      </c>
      <c r="I98" s="12">
        <v>3</v>
      </c>
      <c r="J98" s="13" t="s">
        <v>184</v>
      </c>
      <c r="K98" s="14">
        <v>45</v>
      </c>
      <c r="L98" s="13"/>
      <c r="P98" t="s">
        <v>107</v>
      </c>
      <c r="Q98">
        <v>50</v>
      </c>
    </row>
    <row r="99" spans="1:17" x14ac:dyDescent="0.3">
      <c r="A99" s="12" t="s">
        <v>159</v>
      </c>
      <c r="B99" s="12">
        <v>48</v>
      </c>
      <c r="C99" s="12">
        <v>12</v>
      </c>
      <c r="D99" s="12">
        <v>36</v>
      </c>
      <c r="E99" s="12">
        <v>9</v>
      </c>
      <c r="F99" s="12">
        <v>27</v>
      </c>
      <c r="G99" s="12">
        <v>86</v>
      </c>
      <c r="H99" s="12">
        <v>74</v>
      </c>
      <c r="I99" s="12">
        <v>38</v>
      </c>
      <c r="J99" s="13" t="s">
        <v>208</v>
      </c>
      <c r="K99" s="14">
        <v>380</v>
      </c>
      <c r="L99" s="13"/>
      <c r="P99" t="s">
        <v>55</v>
      </c>
      <c r="Q99">
        <v>10</v>
      </c>
    </row>
    <row r="100" spans="1:17" x14ac:dyDescent="0.3">
      <c r="A100" s="12" t="s">
        <v>160</v>
      </c>
      <c r="B100" s="12">
        <v>60</v>
      </c>
      <c r="C100" s="12">
        <v>40</v>
      </c>
      <c r="D100" s="12">
        <v>20</v>
      </c>
      <c r="E100" s="12">
        <v>5</v>
      </c>
      <c r="F100" s="12">
        <v>15</v>
      </c>
      <c r="G100" s="12">
        <v>60</v>
      </c>
      <c r="H100" s="12">
        <v>20</v>
      </c>
      <c r="I100" s="12">
        <v>0</v>
      </c>
      <c r="J100" s="13"/>
      <c r="K100" s="14"/>
      <c r="L100" s="13"/>
      <c r="P100" t="s">
        <v>75</v>
      </c>
      <c r="Q100">
        <v>10</v>
      </c>
    </row>
    <row r="101" spans="1:17" x14ac:dyDescent="0.3">
      <c r="A101" s="12" t="s">
        <v>51</v>
      </c>
      <c r="B101" s="12">
        <v>12</v>
      </c>
      <c r="C101" s="12">
        <v>8</v>
      </c>
      <c r="D101" s="12">
        <v>4</v>
      </c>
      <c r="E101" s="12">
        <v>1</v>
      </c>
      <c r="F101" s="12">
        <v>3</v>
      </c>
      <c r="G101" s="12">
        <v>12</v>
      </c>
      <c r="H101" s="12">
        <v>4</v>
      </c>
      <c r="I101" s="12">
        <v>0</v>
      </c>
      <c r="J101" s="13"/>
      <c r="K101" s="14"/>
      <c r="L101" s="13"/>
      <c r="P101" t="s">
        <v>42</v>
      </c>
      <c r="Q101">
        <v>15</v>
      </c>
    </row>
    <row r="102" spans="1:17" x14ac:dyDescent="0.3">
      <c r="A102" s="12" t="s">
        <v>103</v>
      </c>
      <c r="B102" s="12">
        <v>24</v>
      </c>
      <c r="C102" s="12">
        <v>12</v>
      </c>
      <c r="D102" s="12">
        <v>12</v>
      </c>
      <c r="E102" s="12">
        <v>3</v>
      </c>
      <c r="F102" s="12">
        <v>9</v>
      </c>
      <c r="G102" s="12">
        <v>29</v>
      </c>
      <c r="H102" s="12">
        <v>17</v>
      </c>
      <c r="I102" s="12">
        <v>5</v>
      </c>
      <c r="J102" s="13" t="s">
        <v>185</v>
      </c>
      <c r="K102" s="14">
        <v>90</v>
      </c>
      <c r="L102" s="13"/>
      <c r="P102" t="s">
        <v>123</v>
      </c>
      <c r="Q102">
        <v>12</v>
      </c>
    </row>
    <row r="103" spans="1:17" x14ac:dyDescent="0.3">
      <c r="A103" s="12" t="s">
        <v>86</v>
      </c>
      <c r="B103" s="12">
        <v>12</v>
      </c>
      <c r="C103" s="12">
        <v>4</v>
      </c>
      <c r="D103" s="12">
        <v>8</v>
      </c>
      <c r="E103" s="12">
        <v>2</v>
      </c>
      <c r="F103" s="12">
        <v>6</v>
      </c>
      <c r="G103" s="12">
        <v>19</v>
      </c>
      <c r="H103" s="12">
        <v>15</v>
      </c>
      <c r="I103" s="12">
        <v>7</v>
      </c>
      <c r="J103" s="13" t="s">
        <v>196</v>
      </c>
      <c r="K103" s="14">
        <v>180</v>
      </c>
      <c r="L103" s="13"/>
      <c r="P103" t="s">
        <v>125</v>
      </c>
      <c r="Q103">
        <v>15</v>
      </c>
    </row>
    <row r="104" spans="1:17" x14ac:dyDescent="0.3">
      <c r="A104" s="12" t="s">
        <v>78</v>
      </c>
      <c r="B104" s="12">
        <v>12</v>
      </c>
      <c r="C104" s="12">
        <v>8</v>
      </c>
      <c r="D104" s="12">
        <v>4</v>
      </c>
      <c r="E104" s="12">
        <v>1</v>
      </c>
      <c r="F104" s="12">
        <v>3</v>
      </c>
      <c r="G104" s="12">
        <v>12</v>
      </c>
      <c r="H104" s="12">
        <v>4</v>
      </c>
      <c r="I104" s="12">
        <v>0</v>
      </c>
      <c r="J104" s="13"/>
      <c r="K104" s="14"/>
      <c r="L104" s="13"/>
      <c r="P104" t="s">
        <v>122</v>
      </c>
      <c r="Q104">
        <v>29</v>
      </c>
    </row>
    <row r="105" spans="1:17" x14ac:dyDescent="0.3">
      <c r="A105" s="12" t="s">
        <v>26</v>
      </c>
      <c r="B105" s="12">
        <v>12</v>
      </c>
      <c r="C105" s="12">
        <v>9</v>
      </c>
      <c r="D105" s="12">
        <v>3</v>
      </c>
      <c r="E105" s="12">
        <v>1</v>
      </c>
      <c r="F105" s="12">
        <v>2</v>
      </c>
      <c r="G105" s="12">
        <v>12</v>
      </c>
      <c r="H105" s="12">
        <v>3</v>
      </c>
      <c r="I105" s="12">
        <v>0</v>
      </c>
      <c r="J105" s="13"/>
      <c r="K105" s="14"/>
      <c r="L105" s="13"/>
      <c r="P105" t="s">
        <v>124</v>
      </c>
      <c r="Q105">
        <v>26</v>
      </c>
    </row>
    <row r="106" spans="1:17" x14ac:dyDescent="0.3">
      <c r="A106" s="12" t="s">
        <v>67</v>
      </c>
      <c r="B106" s="12">
        <v>16</v>
      </c>
      <c r="C106" s="12">
        <v>8</v>
      </c>
      <c r="D106" s="12">
        <v>8</v>
      </c>
      <c r="E106" s="12">
        <v>2</v>
      </c>
      <c r="F106" s="12">
        <v>6</v>
      </c>
      <c r="G106" s="12">
        <v>19</v>
      </c>
      <c r="H106" s="12">
        <v>11</v>
      </c>
      <c r="I106" s="12">
        <v>3</v>
      </c>
      <c r="J106" s="13" t="s">
        <v>194</v>
      </c>
      <c r="K106" s="14">
        <v>45</v>
      </c>
      <c r="L106" s="13"/>
      <c r="P106" t="s">
        <v>23</v>
      </c>
      <c r="Q106">
        <v>29</v>
      </c>
    </row>
    <row r="107" spans="1:17" x14ac:dyDescent="0.3">
      <c r="A107" s="12" t="s">
        <v>32</v>
      </c>
      <c r="B107" s="12">
        <v>12</v>
      </c>
      <c r="C107" s="12">
        <v>7</v>
      </c>
      <c r="D107" s="12">
        <v>5</v>
      </c>
      <c r="E107" s="12">
        <v>1</v>
      </c>
      <c r="F107" s="12">
        <v>4</v>
      </c>
      <c r="G107" s="12">
        <v>12</v>
      </c>
      <c r="H107" s="12">
        <v>5</v>
      </c>
      <c r="I107" s="12">
        <v>0</v>
      </c>
      <c r="J107" s="13"/>
      <c r="K107" s="14"/>
      <c r="L107" s="13"/>
      <c r="P107" t="s">
        <v>25</v>
      </c>
      <c r="Q107">
        <v>5</v>
      </c>
    </row>
    <row r="108" spans="1:17" x14ac:dyDescent="0.3">
      <c r="A108" s="12" t="s">
        <v>175</v>
      </c>
      <c r="B108" s="12">
        <v>20</v>
      </c>
      <c r="C108" s="12">
        <v>7</v>
      </c>
      <c r="D108" s="12">
        <v>13</v>
      </c>
      <c r="E108" s="12">
        <v>3</v>
      </c>
      <c r="F108" s="12">
        <v>10</v>
      </c>
      <c r="G108" s="12">
        <v>31</v>
      </c>
      <c r="H108" s="12">
        <v>24</v>
      </c>
      <c r="I108" s="12">
        <v>11</v>
      </c>
      <c r="J108" s="13" t="s">
        <v>209</v>
      </c>
      <c r="K108" s="14">
        <v>352</v>
      </c>
      <c r="L108" s="13"/>
      <c r="P108" t="s">
        <v>24</v>
      </c>
      <c r="Q108">
        <v>24</v>
      </c>
    </row>
    <row r="109" spans="1:17" x14ac:dyDescent="0.3">
      <c r="A109" s="12" t="s">
        <v>170</v>
      </c>
      <c r="B109" s="12">
        <v>144</v>
      </c>
      <c r="C109" s="12">
        <v>80</v>
      </c>
      <c r="D109" s="12">
        <v>64</v>
      </c>
      <c r="E109" s="12">
        <v>16</v>
      </c>
      <c r="F109" s="12">
        <v>48</v>
      </c>
      <c r="G109" s="12">
        <v>152</v>
      </c>
      <c r="H109" s="12">
        <v>72</v>
      </c>
      <c r="I109" s="12">
        <v>8</v>
      </c>
      <c r="J109" s="13" t="s">
        <v>185</v>
      </c>
      <c r="K109" s="14">
        <v>160</v>
      </c>
      <c r="L109" s="13"/>
      <c r="P109" t="s">
        <v>82</v>
      </c>
      <c r="Q109">
        <v>29</v>
      </c>
    </row>
    <row r="110" spans="1:17" x14ac:dyDescent="0.3">
      <c r="A110" s="12" t="s">
        <v>172</v>
      </c>
      <c r="B110" s="12">
        <v>24</v>
      </c>
      <c r="C110" s="12">
        <v>18</v>
      </c>
      <c r="D110" s="12">
        <v>6</v>
      </c>
      <c r="E110" s="12">
        <v>2</v>
      </c>
      <c r="F110" s="12">
        <v>4</v>
      </c>
      <c r="G110" s="12">
        <v>24</v>
      </c>
      <c r="H110" s="12">
        <v>6</v>
      </c>
      <c r="I110" s="12">
        <v>0</v>
      </c>
      <c r="J110" s="13"/>
      <c r="K110" s="14"/>
      <c r="L110" s="13"/>
      <c r="P110" t="s">
        <v>83</v>
      </c>
      <c r="Q110">
        <v>29</v>
      </c>
    </row>
    <row r="111" spans="1:17" x14ac:dyDescent="0.3">
      <c r="A111" s="12" t="s">
        <v>167</v>
      </c>
      <c r="B111" s="12">
        <v>168</v>
      </c>
      <c r="C111" s="12">
        <v>84</v>
      </c>
      <c r="D111" s="12">
        <v>84</v>
      </c>
      <c r="E111" s="12">
        <v>21</v>
      </c>
      <c r="F111" s="12">
        <v>63</v>
      </c>
      <c r="G111" s="12">
        <v>199</v>
      </c>
      <c r="H111" s="12">
        <v>115</v>
      </c>
      <c r="I111" s="12">
        <v>31</v>
      </c>
      <c r="J111" s="13" t="s">
        <v>208</v>
      </c>
      <c r="K111" s="14">
        <v>440</v>
      </c>
      <c r="L111" s="13"/>
      <c r="P111" t="s">
        <v>74</v>
      </c>
      <c r="Q111">
        <v>5</v>
      </c>
    </row>
    <row r="112" spans="1:17" x14ac:dyDescent="0.3">
      <c r="A112" s="12" t="s">
        <v>166</v>
      </c>
      <c r="B112" s="12">
        <v>24</v>
      </c>
      <c r="C112" s="12">
        <v>12</v>
      </c>
      <c r="D112" s="12">
        <v>12</v>
      </c>
      <c r="E112" s="12">
        <v>3</v>
      </c>
      <c r="F112" s="12">
        <v>9</v>
      </c>
      <c r="G112" s="12">
        <v>29</v>
      </c>
      <c r="H112" s="12">
        <v>17</v>
      </c>
      <c r="I112" s="12">
        <v>5</v>
      </c>
      <c r="J112" s="13" t="s">
        <v>185</v>
      </c>
      <c r="K112" s="14">
        <v>150</v>
      </c>
      <c r="L112" s="13"/>
      <c r="P112" t="s">
        <v>59</v>
      </c>
      <c r="Q112">
        <v>15</v>
      </c>
    </row>
    <row r="113" spans="1:17" x14ac:dyDescent="0.3">
      <c r="A113" s="12" t="s">
        <v>97</v>
      </c>
      <c r="B113" s="12">
        <v>30</v>
      </c>
      <c r="C113" s="12">
        <v>9</v>
      </c>
      <c r="D113" s="12">
        <v>21</v>
      </c>
      <c r="E113" s="12">
        <v>5</v>
      </c>
      <c r="F113" s="12">
        <v>16</v>
      </c>
      <c r="G113" s="12">
        <v>50</v>
      </c>
      <c r="H113" s="12">
        <v>41</v>
      </c>
      <c r="I113" s="12">
        <v>20</v>
      </c>
      <c r="J113" s="13" t="s">
        <v>199</v>
      </c>
      <c r="K113" s="14">
        <v>160</v>
      </c>
      <c r="L113" s="13"/>
      <c r="P113" t="s">
        <v>70</v>
      </c>
      <c r="Q113">
        <v>17</v>
      </c>
    </row>
    <row r="114" spans="1:17" ht="15" thickBot="1" x14ac:dyDescent="0.35">
      <c r="A114" s="12" t="s">
        <v>96</v>
      </c>
      <c r="B114" s="12">
        <v>70</v>
      </c>
      <c r="C114" s="12">
        <v>15</v>
      </c>
      <c r="D114" s="12">
        <v>55</v>
      </c>
      <c r="E114" s="12">
        <v>14</v>
      </c>
      <c r="F114" s="12">
        <v>41</v>
      </c>
      <c r="G114" s="12">
        <v>130</v>
      </c>
      <c r="H114" s="12">
        <v>115</v>
      </c>
      <c r="I114" s="12">
        <v>60</v>
      </c>
      <c r="J114" s="13" t="s">
        <v>198</v>
      </c>
      <c r="K114" s="14">
        <v>480</v>
      </c>
      <c r="L114" s="13"/>
      <c r="P114" t="s">
        <v>62</v>
      </c>
      <c r="Q114">
        <v>15</v>
      </c>
    </row>
    <row r="115" spans="1:17" ht="15" thickTop="1" x14ac:dyDescent="0.3">
      <c r="A115" s="15" t="s">
        <v>214</v>
      </c>
      <c r="B115" s="15"/>
      <c r="C115" s="15"/>
      <c r="D115" s="15"/>
      <c r="E115" s="15"/>
      <c r="F115" s="15"/>
      <c r="G115" s="15"/>
      <c r="H115" s="15"/>
      <c r="I115" s="15"/>
      <c r="J115" s="16"/>
      <c r="K115" s="17">
        <f>SUM(K94:K114)</f>
        <v>2873</v>
      </c>
      <c r="L115" s="13"/>
      <c r="P115" t="s">
        <v>164</v>
      </c>
      <c r="Q115">
        <v>152</v>
      </c>
    </row>
    <row r="116" spans="1:17" x14ac:dyDescent="0.3">
      <c r="A116" s="12"/>
      <c r="B116" s="12"/>
      <c r="C116" s="12"/>
      <c r="D116" s="12"/>
      <c r="E116" s="12"/>
      <c r="F116" s="12"/>
      <c r="G116" s="12"/>
      <c r="H116" s="12"/>
      <c r="I116" s="12"/>
      <c r="J116" s="13"/>
      <c r="K116" s="14"/>
      <c r="L116" s="13"/>
      <c r="P116" t="s">
        <v>173</v>
      </c>
      <c r="Q116">
        <v>29</v>
      </c>
    </row>
    <row r="117" spans="1:17" x14ac:dyDescent="0.3">
      <c r="A117" s="12" t="s">
        <v>99</v>
      </c>
      <c r="B117" s="12">
        <v>48</v>
      </c>
      <c r="C117" s="12">
        <v>20</v>
      </c>
      <c r="D117" s="12">
        <v>28</v>
      </c>
      <c r="E117" s="12">
        <v>7</v>
      </c>
      <c r="F117" s="12">
        <v>21</v>
      </c>
      <c r="G117" s="12">
        <v>67</v>
      </c>
      <c r="H117" s="12">
        <v>47</v>
      </c>
      <c r="I117" s="12">
        <v>19</v>
      </c>
      <c r="J117" s="13" t="s">
        <v>196</v>
      </c>
      <c r="K117" s="14">
        <v>150</v>
      </c>
      <c r="L117" s="13"/>
      <c r="P117" t="s">
        <v>8</v>
      </c>
      <c r="Q117">
        <v>12</v>
      </c>
    </row>
    <row r="118" spans="1:17" x14ac:dyDescent="0.3">
      <c r="A118" s="12" t="s">
        <v>46</v>
      </c>
      <c r="B118" s="12">
        <v>48</v>
      </c>
      <c r="C118" s="12">
        <v>24</v>
      </c>
      <c r="D118" s="12">
        <v>24</v>
      </c>
      <c r="E118" s="12">
        <v>6</v>
      </c>
      <c r="F118" s="12">
        <v>18</v>
      </c>
      <c r="G118" s="12">
        <v>57</v>
      </c>
      <c r="H118" s="12">
        <v>33</v>
      </c>
      <c r="I118" s="12">
        <v>9</v>
      </c>
      <c r="J118" s="13" t="s">
        <v>184</v>
      </c>
      <c r="K118" s="14">
        <v>45</v>
      </c>
      <c r="L118" s="13"/>
      <c r="P118" t="s">
        <v>71</v>
      </c>
      <c r="Q118">
        <v>15</v>
      </c>
    </row>
    <row r="119" spans="1:17" x14ac:dyDescent="0.3">
      <c r="A119" s="12" t="s">
        <v>45</v>
      </c>
      <c r="B119" s="12">
        <v>24</v>
      </c>
      <c r="C119" s="12">
        <v>12</v>
      </c>
      <c r="D119" s="12">
        <v>12</v>
      </c>
      <c r="E119" s="12">
        <v>3</v>
      </c>
      <c r="F119" s="12">
        <v>9</v>
      </c>
      <c r="G119" s="12">
        <v>29</v>
      </c>
      <c r="H119" s="12">
        <v>17</v>
      </c>
      <c r="I119" s="12">
        <v>5</v>
      </c>
      <c r="J119" s="13" t="s">
        <v>184</v>
      </c>
      <c r="K119" s="14">
        <v>70</v>
      </c>
      <c r="L119" s="13"/>
      <c r="P119" t="s">
        <v>159</v>
      </c>
      <c r="Q119">
        <v>86</v>
      </c>
    </row>
    <row r="120" spans="1:17" x14ac:dyDescent="0.3">
      <c r="A120" s="12" t="s">
        <v>47</v>
      </c>
      <c r="B120" s="12">
        <v>12</v>
      </c>
      <c r="C120" s="12">
        <v>6</v>
      </c>
      <c r="D120" s="12">
        <v>6</v>
      </c>
      <c r="E120" s="12">
        <v>2</v>
      </c>
      <c r="F120" s="12">
        <v>4</v>
      </c>
      <c r="G120" s="12">
        <v>15</v>
      </c>
      <c r="H120" s="12">
        <v>9</v>
      </c>
      <c r="I120" s="12">
        <v>3</v>
      </c>
      <c r="J120" s="13" t="s">
        <v>184</v>
      </c>
      <c r="K120" s="14">
        <v>110</v>
      </c>
      <c r="L120" s="13"/>
      <c r="P120" t="s">
        <v>160</v>
      </c>
      <c r="Q120">
        <v>60</v>
      </c>
    </row>
    <row r="121" spans="1:17" x14ac:dyDescent="0.3">
      <c r="A121" s="12" t="s">
        <v>33</v>
      </c>
      <c r="B121" s="12">
        <v>12</v>
      </c>
      <c r="C121" s="12">
        <v>8</v>
      </c>
      <c r="D121" s="12">
        <v>4</v>
      </c>
      <c r="E121" s="12">
        <v>1</v>
      </c>
      <c r="F121" s="12">
        <v>3</v>
      </c>
      <c r="G121" s="12">
        <v>12</v>
      </c>
      <c r="H121" s="12">
        <v>4</v>
      </c>
      <c r="I121" s="12">
        <v>0</v>
      </c>
      <c r="J121" s="13"/>
      <c r="K121" s="14"/>
      <c r="L121" s="13"/>
      <c r="P121" t="s">
        <v>51</v>
      </c>
      <c r="Q121">
        <v>12</v>
      </c>
    </row>
    <row r="122" spans="1:17" x14ac:dyDescent="0.3">
      <c r="A122" s="12" t="s">
        <v>11</v>
      </c>
      <c r="B122" s="12">
        <v>10</v>
      </c>
      <c r="C122" s="12">
        <v>5</v>
      </c>
      <c r="D122" s="12">
        <v>5</v>
      </c>
      <c r="E122" s="12">
        <v>1</v>
      </c>
      <c r="F122" s="12">
        <v>4</v>
      </c>
      <c r="G122" s="12">
        <v>12</v>
      </c>
      <c r="H122" s="12">
        <v>7</v>
      </c>
      <c r="I122" s="12">
        <v>2</v>
      </c>
      <c r="J122" s="13" t="s">
        <v>180</v>
      </c>
      <c r="K122" s="14">
        <v>30</v>
      </c>
      <c r="L122" s="13"/>
      <c r="P122" t="s">
        <v>103</v>
      </c>
      <c r="Q122">
        <v>29</v>
      </c>
    </row>
    <row r="123" spans="1:17" x14ac:dyDescent="0.3">
      <c r="A123" s="12" t="s">
        <v>76</v>
      </c>
      <c r="B123" s="12">
        <v>32</v>
      </c>
      <c r="C123" s="12">
        <v>15</v>
      </c>
      <c r="D123" s="12">
        <v>17</v>
      </c>
      <c r="E123" s="12">
        <v>4</v>
      </c>
      <c r="F123" s="12">
        <v>13</v>
      </c>
      <c r="G123" s="12">
        <v>41</v>
      </c>
      <c r="H123" s="12">
        <v>26</v>
      </c>
      <c r="I123" s="12">
        <v>9</v>
      </c>
      <c r="J123" s="13" t="s">
        <v>196</v>
      </c>
      <c r="K123" s="14">
        <v>35</v>
      </c>
      <c r="L123" s="13"/>
      <c r="P123" t="s">
        <v>86</v>
      </c>
      <c r="Q123">
        <v>19</v>
      </c>
    </row>
    <row r="124" spans="1:17" x14ac:dyDescent="0.3">
      <c r="A124" s="12" t="s">
        <v>58</v>
      </c>
      <c r="B124" s="12">
        <v>12</v>
      </c>
      <c r="C124" s="12">
        <v>5</v>
      </c>
      <c r="D124" s="12">
        <v>7</v>
      </c>
      <c r="E124" s="12">
        <v>2</v>
      </c>
      <c r="F124" s="12">
        <v>5</v>
      </c>
      <c r="G124" s="12">
        <v>17</v>
      </c>
      <c r="H124" s="12">
        <v>12</v>
      </c>
      <c r="I124" s="12">
        <v>5</v>
      </c>
      <c r="J124" s="13" t="s">
        <v>184</v>
      </c>
      <c r="K124" s="14">
        <v>75</v>
      </c>
      <c r="L124" s="13"/>
      <c r="P124" t="s">
        <v>78</v>
      </c>
      <c r="Q124">
        <v>12</v>
      </c>
    </row>
    <row r="125" spans="1:17" x14ac:dyDescent="0.3">
      <c r="A125" s="12" t="s">
        <v>136</v>
      </c>
      <c r="B125" s="12">
        <v>3</v>
      </c>
      <c r="C125" s="12">
        <v>0</v>
      </c>
      <c r="D125" s="12">
        <v>3</v>
      </c>
      <c r="E125" s="12">
        <v>1</v>
      </c>
      <c r="F125" s="12">
        <v>2</v>
      </c>
      <c r="G125" s="12">
        <v>8</v>
      </c>
      <c r="H125" s="12">
        <v>8</v>
      </c>
      <c r="I125" s="12">
        <v>5</v>
      </c>
      <c r="J125" s="13" t="s">
        <v>181</v>
      </c>
      <c r="K125" s="14">
        <v>200</v>
      </c>
      <c r="L125" s="13"/>
      <c r="P125" t="s">
        <v>26</v>
      </c>
      <c r="Q125">
        <v>12</v>
      </c>
    </row>
    <row r="126" spans="1:17" x14ac:dyDescent="0.3">
      <c r="A126" s="12" t="s">
        <v>54</v>
      </c>
      <c r="B126" s="12">
        <v>12</v>
      </c>
      <c r="C126" s="12">
        <v>6</v>
      </c>
      <c r="D126" s="12">
        <v>6</v>
      </c>
      <c r="E126" s="12">
        <v>2</v>
      </c>
      <c r="F126" s="12">
        <v>4</v>
      </c>
      <c r="G126" s="12">
        <v>15</v>
      </c>
      <c r="H126" s="12">
        <v>9</v>
      </c>
      <c r="I126" s="12">
        <v>3</v>
      </c>
      <c r="J126" s="13" t="s">
        <v>184</v>
      </c>
      <c r="K126" s="14">
        <v>110</v>
      </c>
      <c r="L126" s="13"/>
      <c r="P126" t="s">
        <v>67</v>
      </c>
      <c r="Q126">
        <v>19</v>
      </c>
    </row>
    <row r="127" spans="1:17" x14ac:dyDescent="0.3">
      <c r="A127" s="12" t="s">
        <v>85</v>
      </c>
      <c r="B127" s="12">
        <v>12</v>
      </c>
      <c r="C127" s="12">
        <v>7</v>
      </c>
      <c r="D127" s="12">
        <v>5</v>
      </c>
      <c r="E127" s="12">
        <v>1</v>
      </c>
      <c r="F127" s="12">
        <v>4</v>
      </c>
      <c r="G127" s="12">
        <v>12</v>
      </c>
      <c r="H127" s="12">
        <v>5</v>
      </c>
      <c r="I127" s="12">
        <v>0</v>
      </c>
      <c r="J127" s="13"/>
      <c r="K127" s="14"/>
      <c r="L127" s="13"/>
      <c r="P127" t="s">
        <v>32</v>
      </c>
      <c r="Q127">
        <v>12</v>
      </c>
    </row>
    <row r="128" spans="1:17" x14ac:dyDescent="0.3">
      <c r="A128" s="12" t="s">
        <v>49</v>
      </c>
      <c r="B128" s="12">
        <v>12</v>
      </c>
      <c r="C128" s="12">
        <v>4</v>
      </c>
      <c r="D128" s="12">
        <v>8</v>
      </c>
      <c r="E128" s="12">
        <v>2</v>
      </c>
      <c r="F128" s="12">
        <v>6</v>
      </c>
      <c r="G128" s="12">
        <v>19</v>
      </c>
      <c r="H128" s="12">
        <v>15</v>
      </c>
      <c r="I128" s="12">
        <v>7</v>
      </c>
      <c r="J128" s="13" t="s">
        <v>184</v>
      </c>
      <c r="K128" s="14">
        <v>55</v>
      </c>
      <c r="L128" s="13"/>
      <c r="P128" t="s">
        <v>175</v>
      </c>
      <c r="Q128">
        <v>31</v>
      </c>
    </row>
    <row r="129" spans="1:17" x14ac:dyDescent="0.3">
      <c r="A129" s="12" t="s">
        <v>72</v>
      </c>
      <c r="B129" s="12">
        <v>12</v>
      </c>
      <c r="C129" s="12">
        <v>4</v>
      </c>
      <c r="D129" s="12">
        <v>8</v>
      </c>
      <c r="E129" s="12">
        <v>2</v>
      </c>
      <c r="F129" s="12">
        <v>6</v>
      </c>
      <c r="G129" s="12">
        <v>19</v>
      </c>
      <c r="H129" s="12">
        <v>15</v>
      </c>
      <c r="I129" s="12">
        <v>7</v>
      </c>
      <c r="J129" s="13" t="s">
        <v>189</v>
      </c>
      <c r="K129" s="14">
        <v>112</v>
      </c>
      <c r="L129" s="13"/>
      <c r="P129" t="s">
        <v>170</v>
      </c>
      <c r="Q129">
        <v>152</v>
      </c>
    </row>
    <row r="130" spans="1:17" x14ac:dyDescent="0.3">
      <c r="A130" s="12" t="s">
        <v>9</v>
      </c>
      <c r="B130" s="12">
        <v>10</v>
      </c>
      <c r="C130" s="12">
        <v>4</v>
      </c>
      <c r="D130" s="12">
        <v>6</v>
      </c>
      <c r="E130" s="12">
        <v>2</v>
      </c>
      <c r="F130" s="12">
        <v>4</v>
      </c>
      <c r="G130" s="12">
        <v>15</v>
      </c>
      <c r="H130" s="12">
        <v>11</v>
      </c>
      <c r="I130" s="12">
        <v>5</v>
      </c>
      <c r="J130" s="13" t="s">
        <v>181</v>
      </c>
      <c r="K130" s="14">
        <v>250</v>
      </c>
      <c r="L130" s="13"/>
      <c r="P130" t="s">
        <v>172</v>
      </c>
      <c r="Q130">
        <v>24</v>
      </c>
    </row>
    <row r="131" spans="1:17" x14ac:dyDescent="0.3">
      <c r="A131" s="12" t="s">
        <v>43</v>
      </c>
      <c r="B131" s="12">
        <v>24</v>
      </c>
      <c r="C131" s="12">
        <v>18</v>
      </c>
      <c r="D131" s="12">
        <v>6</v>
      </c>
      <c r="E131" s="12">
        <v>2</v>
      </c>
      <c r="F131" s="12">
        <v>4</v>
      </c>
      <c r="G131" s="12">
        <v>24</v>
      </c>
      <c r="H131" s="12">
        <v>6</v>
      </c>
      <c r="I131" s="12">
        <v>0</v>
      </c>
      <c r="J131" s="13"/>
      <c r="K131" s="14"/>
      <c r="L131" s="13"/>
      <c r="P131" t="s">
        <v>167</v>
      </c>
      <c r="Q131">
        <v>199</v>
      </c>
    </row>
    <row r="132" spans="1:17" x14ac:dyDescent="0.3">
      <c r="A132" s="18" t="s">
        <v>126</v>
      </c>
      <c r="B132" s="12">
        <v>8</v>
      </c>
      <c r="C132" s="12">
        <v>1</v>
      </c>
      <c r="D132" s="12">
        <v>7</v>
      </c>
      <c r="E132" s="12">
        <v>2</v>
      </c>
      <c r="F132" s="12">
        <v>5</v>
      </c>
      <c r="G132" s="12">
        <v>17</v>
      </c>
      <c r="H132" s="12">
        <v>16</v>
      </c>
      <c r="I132" s="12">
        <v>9</v>
      </c>
      <c r="J132" s="13" t="s">
        <v>195</v>
      </c>
      <c r="K132" s="14">
        <v>225</v>
      </c>
      <c r="L132" s="13"/>
      <c r="P132" t="s">
        <v>166</v>
      </c>
      <c r="Q132">
        <v>29</v>
      </c>
    </row>
    <row r="133" spans="1:17" x14ac:dyDescent="0.3">
      <c r="A133" s="12" t="s">
        <v>128</v>
      </c>
      <c r="B133" s="12">
        <v>12</v>
      </c>
      <c r="C133" s="12">
        <v>5</v>
      </c>
      <c r="D133" s="12">
        <v>7</v>
      </c>
      <c r="E133" s="12">
        <v>2</v>
      </c>
      <c r="F133" s="12">
        <v>5</v>
      </c>
      <c r="G133" s="12">
        <v>17</v>
      </c>
      <c r="H133" s="12">
        <v>12</v>
      </c>
      <c r="I133" s="12">
        <v>5</v>
      </c>
      <c r="J133" s="13" t="s">
        <v>185</v>
      </c>
      <c r="K133" s="14">
        <v>75</v>
      </c>
      <c r="L133" s="13"/>
      <c r="P133" t="s">
        <v>97</v>
      </c>
      <c r="Q133">
        <v>50</v>
      </c>
    </row>
    <row r="134" spans="1:17" x14ac:dyDescent="0.3">
      <c r="A134" s="12" t="s">
        <v>127</v>
      </c>
      <c r="B134" s="12">
        <v>8</v>
      </c>
      <c r="C134" s="12">
        <v>4</v>
      </c>
      <c r="D134" s="12">
        <v>4</v>
      </c>
      <c r="E134" s="12">
        <v>1</v>
      </c>
      <c r="F134" s="12">
        <v>3</v>
      </c>
      <c r="G134" s="12">
        <v>10</v>
      </c>
      <c r="H134" s="12">
        <v>6</v>
      </c>
      <c r="I134" s="12">
        <v>2</v>
      </c>
      <c r="J134" s="13" t="s">
        <v>207</v>
      </c>
      <c r="K134" s="14">
        <v>50</v>
      </c>
      <c r="L134" s="13"/>
      <c r="P134" t="s">
        <v>96</v>
      </c>
      <c r="Q134">
        <v>130</v>
      </c>
    </row>
    <row r="135" spans="1:17" x14ac:dyDescent="0.3">
      <c r="A135" s="12" t="s">
        <v>35</v>
      </c>
      <c r="B135" s="12">
        <v>12</v>
      </c>
      <c r="C135" s="12">
        <v>6</v>
      </c>
      <c r="D135" s="12">
        <v>6</v>
      </c>
      <c r="E135" s="12">
        <v>2</v>
      </c>
      <c r="F135" s="12">
        <v>4</v>
      </c>
      <c r="G135" s="12">
        <v>15</v>
      </c>
      <c r="H135" s="12">
        <v>9</v>
      </c>
      <c r="I135" s="12">
        <v>3</v>
      </c>
      <c r="J135" s="13" t="s">
        <v>184</v>
      </c>
      <c r="K135" s="14">
        <v>75</v>
      </c>
      <c r="L135" s="13"/>
      <c r="P135" t="s">
        <v>99</v>
      </c>
      <c r="Q135">
        <v>67</v>
      </c>
    </row>
    <row r="136" spans="1:17" x14ac:dyDescent="0.3">
      <c r="A136" s="12" t="s">
        <v>94</v>
      </c>
      <c r="B136" s="12">
        <v>24</v>
      </c>
      <c r="C136" s="12">
        <v>2</v>
      </c>
      <c r="D136" s="12">
        <v>22</v>
      </c>
      <c r="E136" s="12">
        <v>6</v>
      </c>
      <c r="F136" s="12">
        <v>16</v>
      </c>
      <c r="G136" s="12">
        <v>52</v>
      </c>
      <c r="H136" s="12">
        <v>50</v>
      </c>
      <c r="I136" s="12">
        <v>28</v>
      </c>
      <c r="J136" s="13" t="s">
        <v>184</v>
      </c>
      <c r="K136" s="14">
        <v>110</v>
      </c>
      <c r="L136" s="13"/>
      <c r="P136" t="s">
        <v>46</v>
      </c>
      <c r="Q136">
        <v>57</v>
      </c>
    </row>
    <row r="137" spans="1:17" ht="15" thickBot="1" x14ac:dyDescent="0.35">
      <c r="A137" s="12" t="s">
        <v>130</v>
      </c>
      <c r="B137" s="12">
        <v>24</v>
      </c>
      <c r="C137" s="12">
        <v>5</v>
      </c>
      <c r="D137" s="12">
        <v>19</v>
      </c>
      <c r="E137" s="12">
        <v>5</v>
      </c>
      <c r="F137" s="12">
        <v>14</v>
      </c>
      <c r="G137" s="12">
        <v>45</v>
      </c>
      <c r="H137" s="12">
        <v>40</v>
      </c>
      <c r="I137" s="12">
        <v>21</v>
      </c>
      <c r="J137" s="13" t="s">
        <v>208</v>
      </c>
      <c r="K137" s="14">
        <v>150</v>
      </c>
      <c r="L137" s="13"/>
      <c r="P137" t="s">
        <v>45</v>
      </c>
      <c r="Q137">
        <v>29</v>
      </c>
    </row>
    <row r="138" spans="1:17" ht="15" thickTop="1" x14ac:dyDescent="0.3">
      <c r="A138" s="15" t="s">
        <v>214</v>
      </c>
      <c r="B138" s="15"/>
      <c r="C138" s="15"/>
      <c r="D138" s="15"/>
      <c r="E138" s="15"/>
      <c r="F138" s="15"/>
      <c r="G138" s="15"/>
      <c r="H138" s="15"/>
      <c r="I138" s="15"/>
      <c r="J138" s="16"/>
      <c r="K138" s="17">
        <f>SUM(K117:K137)</f>
        <v>1927</v>
      </c>
      <c r="L138" s="13"/>
      <c r="P138" t="s">
        <v>47</v>
      </c>
      <c r="Q138">
        <v>15</v>
      </c>
    </row>
    <row r="139" spans="1:17" x14ac:dyDescent="0.3">
      <c r="A139" s="12"/>
      <c r="B139" s="12"/>
      <c r="C139" s="12"/>
      <c r="D139" s="12"/>
      <c r="E139" s="12"/>
      <c r="F139" s="12"/>
      <c r="G139" s="12"/>
      <c r="H139" s="12"/>
      <c r="I139" s="12"/>
      <c r="J139" s="13"/>
      <c r="K139" s="14"/>
      <c r="L139" s="13"/>
      <c r="P139" t="s">
        <v>33</v>
      </c>
      <c r="Q139">
        <v>12</v>
      </c>
    </row>
    <row r="140" spans="1:17" x14ac:dyDescent="0.3">
      <c r="A140" s="12" t="s">
        <v>129</v>
      </c>
      <c r="B140" s="12">
        <v>24</v>
      </c>
      <c r="C140" s="12">
        <v>8</v>
      </c>
      <c r="D140" s="12">
        <v>16</v>
      </c>
      <c r="E140" s="12">
        <v>4</v>
      </c>
      <c r="F140" s="12">
        <v>12</v>
      </c>
      <c r="G140" s="12">
        <v>38</v>
      </c>
      <c r="H140" s="12">
        <v>30</v>
      </c>
      <c r="I140" s="12">
        <v>14</v>
      </c>
      <c r="J140" s="13" t="s">
        <v>185</v>
      </c>
      <c r="K140" s="14">
        <v>80</v>
      </c>
      <c r="L140" s="13"/>
      <c r="P140" t="s">
        <v>11</v>
      </c>
      <c r="Q140">
        <v>12</v>
      </c>
    </row>
    <row r="141" spans="1:17" x14ac:dyDescent="0.3">
      <c r="A141" s="12" t="s">
        <v>131</v>
      </c>
      <c r="B141" s="12">
        <v>8</v>
      </c>
      <c r="C141" s="12">
        <v>2</v>
      </c>
      <c r="D141" s="12">
        <v>6</v>
      </c>
      <c r="E141" s="12">
        <v>2</v>
      </c>
      <c r="F141" s="12">
        <v>4</v>
      </c>
      <c r="G141" s="12">
        <v>15</v>
      </c>
      <c r="H141" s="12">
        <v>13</v>
      </c>
      <c r="I141" s="12">
        <v>7</v>
      </c>
      <c r="J141" s="13" t="s">
        <v>189</v>
      </c>
      <c r="K141" s="14">
        <v>180</v>
      </c>
      <c r="L141" s="13"/>
      <c r="P141" t="s">
        <v>76</v>
      </c>
      <c r="Q141">
        <v>41</v>
      </c>
    </row>
    <row r="142" spans="1:17" x14ac:dyDescent="0.3">
      <c r="A142" s="12" t="s">
        <v>95</v>
      </c>
      <c r="B142" s="12">
        <v>30</v>
      </c>
      <c r="C142" s="12">
        <v>8</v>
      </c>
      <c r="D142" s="12">
        <v>22</v>
      </c>
      <c r="E142" s="12">
        <v>6</v>
      </c>
      <c r="F142" s="12">
        <v>16</v>
      </c>
      <c r="G142" s="12">
        <v>52</v>
      </c>
      <c r="H142" s="12">
        <v>44</v>
      </c>
      <c r="I142" s="12">
        <v>22</v>
      </c>
      <c r="J142" s="13" t="s">
        <v>197</v>
      </c>
      <c r="K142" s="14">
        <v>143</v>
      </c>
      <c r="L142" s="13"/>
      <c r="P142" t="s">
        <v>58</v>
      </c>
      <c r="Q142">
        <v>17</v>
      </c>
    </row>
    <row r="143" spans="1:17" x14ac:dyDescent="0.3">
      <c r="A143" s="12" t="s">
        <v>149</v>
      </c>
      <c r="B143" s="12">
        <v>10</v>
      </c>
      <c r="C143" s="12">
        <v>3</v>
      </c>
      <c r="D143" s="12">
        <v>7</v>
      </c>
      <c r="E143" s="12">
        <v>2</v>
      </c>
      <c r="F143" s="12">
        <v>5</v>
      </c>
      <c r="G143" s="12">
        <v>17</v>
      </c>
      <c r="H143" s="12">
        <v>14</v>
      </c>
      <c r="I143" s="12">
        <v>7</v>
      </c>
      <c r="J143" s="13" t="s">
        <v>189</v>
      </c>
      <c r="K143" s="14">
        <v>490</v>
      </c>
      <c r="L143" s="13"/>
      <c r="P143" t="s">
        <v>136</v>
      </c>
      <c r="Q143">
        <v>8</v>
      </c>
    </row>
    <row r="144" spans="1:17" x14ac:dyDescent="0.3">
      <c r="A144" s="12" t="s">
        <v>151</v>
      </c>
      <c r="B144" s="12">
        <v>24</v>
      </c>
      <c r="C144" s="12">
        <v>13</v>
      </c>
      <c r="D144" s="12">
        <v>11</v>
      </c>
      <c r="E144" s="12">
        <v>3</v>
      </c>
      <c r="F144" s="12">
        <v>8</v>
      </c>
      <c r="G144" s="12">
        <v>26</v>
      </c>
      <c r="H144" s="12">
        <v>13</v>
      </c>
      <c r="I144" s="12">
        <v>2</v>
      </c>
      <c r="J144" s="13" t="s">
        <v>184</v>
      </c>
      <c r="K144" s="14">
        <v>230</v>
      </c>
      <c r="L144" s="13"/>
      <c r="P144" t="s">
        <v>54</v>
      </c>
      <c r="Q144">
        <v>15</v>
      </c>
    </row>
    <row r="145" spans="1:17" x14ac:dyDescent="0.3">
      <c r="A145" s="12" t="s">
        <v>150</v>
      </c>
      <c r="B145" s="12">
        <v>12</v>
      </c>
      <c r="C145" s="12">
        <v>7</v>
      </c>
      <c r="D145" s="12">
        <v>5</v>
      </c>
      <c r="E145" s="12">
        <v>1</v>
      </c>
      <c r="F145" s="12">
        <v>4</v>
      </c>
      <c r="G145" s="12">
        <v>12</v>
      </c>
      <c r="H145" s="12">
        <v>5</v>
      </c>
      <c r="I145" s="12">
        <v>0</v>
      </c>
      <c r="J145" s="13"/>
      <c r="K145" s="14"/>
      <c r="L145" s="13"/>
      <c r="P145" t="s">
        <v>85</v>
      </c>
      <c r="Q145">
        <v>12</v>
      </c>
    </row>
    <row r="146" spans="1:17" x14ac:dyDescent="0.3">
      <c r="A146" s="12" t="s">
        <v>148</v>
      </c>
      <c r="B146" s="12">
        <v>12</v>
      </c>
      <c r="C146" s="12">
        <v>5</v>
      </c>
      <c r="D146" s="12">
        <v>7</v>
      </c>
      <c r="E146" s="12">
        <v>2</v>
      </c>
      <c r="F146" s="12">
        <v>5</v>
      </c>
      <c r="G146" s="12">
        <v>17</v>
      </c>
      <c r="H146" s="12">
        <v>12</v>
      </c>
      <c r="I146" s="12">
        <v>5</v>
      </c>
      <c r="J146" s="13" t="s">
        <v>192</v>
      </c>
      <c r="K146" s="14">
        <v>240</v>
      </c>
      <c r="L146" s="13"/>
      <c r="P146" t="s">
        <v>49</v>
      </c>
      <c r="Q146">
        <v>19</v>
      </c>
    </row>
    <row r="147" spans="1:17" x14ac:dyDescent="0.3">
      <c r="A147" s="12" t="s">
        <v>161</v>
      </c>
      <c r="B147" s="12">
        <v>12</v>
      </c>
      <c r="C147" s="12">
        <v>6</v>
      </c>
      <c r="D147" s="12">
        <v>6</v>
      </c>
      <c r="E147" s="12">
        <v>2</v>
      </c>
      <c r="F147" s="12">
        <v>4</v>
      </c>
      <c r="G147" s="12">
        <v>15</v>
      </c>
      <c r="H147" s="12">
        <v>9</v>
      </c>
      <c r="I147" s="12">
        <v>3</v>
      </c>
      <c r="J147" s="13" t="s">
        <v>185</v>
      </c>
      <c r="K147" s="14">
        <v>120</v>
      </c>
      <c r="L147" s="13"/>
      <c r="P147" t="s">
        <v>72</v>
      </c>
      <c r="Q147">
        <v>19</v>
      </c>
    </row>
    <row r="148" spans="1:17" x14ac:dyDescent="0.3">
      <c r="A148" s="12" t="s">
        <v>154</v>
      </c>
      <c r="B148" s="12">
        <v>12</v>
      </c>
      <c r="C148" s="12">
        <v>2</v>
      </c>
      <c r="D148" s="12">
        <v>10</v>
      </c>
      <c r="E148" s="12">
        <v>2</v>
      </c>
      <c r="F148" s="12">
        <v>8</v>
      </c>
      <c r="G148" s="12">
        <v>24</v>
      </c>
      <c r="H148" s="12">
        <v>22</v>
      </c>
      <c r="I148" s="12">
        <v>12</v>
      </c>
      <c r="J148" s="13" t="s">
        <v>185</v>
      </c>
      <c r="K148" s="14">
        <v>180</v>
      </c>
      <c r="L148" s="13"/>
      <c r="P148" t="s">
        <v>9</v>
      </c>
      <c r="Q148">
        <v>15</v>
      </c>
    </row>
    <row r="149" spans="1:17" x14ac:dyDescent="0.3">
      <c r="A149" s="12" t="s">
        <v>152</v>
      </c>
      <c r="B149" s="12">
        <v>10</v>
      </c>
      <c r="C149" s="12">
        <v>2</v>
      </c>
      <c r="D149" s="12">
        <v>8</v>
      </c>
      <c r="E149" s="12">
        <v>2</v>
      </c>
      <c r="F149" s="12">
        <v>6</v>
      </c>
      <c r="G149" s="12">
        <v>19</v>
      </c>
      <c r="H149" s="12">
        <v>17</v>
      </c>
      <c r="I149" s="12">
        <v>9</v>
      </c>
      <c r="J149" s="13" t="s">
        <v>195</v>
      </c>
      <c r="K149" s="14">
        <v>225</v>
      </c>
      <c r="L149" s="13"/>
      <c r="P149" t="s">
        <v>43</v>
      </c>
      <c r="Q149">
        <v>24</v>
      </c>
    </row>
    <row r="150" spans="1:17" x14ac:dyDescent="0.3">
      <c r="A150" s="12" t="s">
        <v>153</v>
      </c>
      <c r="B150" s="12">
        <v>24</v>
      </c>
      <c r="C150" s="12">
        <v>6</v>
      </c>
      <c r="D150" s="12">
        <v>18</v>
      </c>
      <c r="E150" s="12">
        <v>4</v>
      </c>
      <c r="F150" s="12">
        <v>14</v>
      </c>
      <c r="G150" s="12">
        <v>43</v>
      </c>
      <c r="H150" s="12">
        <v>37</v>
      </c>
      <c r="I150" s="12">
        <v>19</v>
      </c>
      <c r="J150" s="13" t="s">
        <v>208</v>
      </c>
      <c r="K150" s="14">
        <v>360</v>
      </c>
      <c r="L150" s="13"/>
      <c r="P150" t="s">
        <v>126</v>
      </c>
      <c r="Q150">
        <v>17</v>
      </c>
    </row>
    <row r="151" spans="1:17" x14ac:dyDescent="0.3">
      <c r="A151" s="12" t="s">
        <v>102</v>
      </c>
      <c r="B151" s="12">
        <v>24</v>
      </c>
      <c r="C151" s="12">
        <v>12</v>
      </c>
      <c r="D151" s="12">
        <v>12</v>
      </c>
      <c r="E151" s="12">
        <v>3</v>
      </c>
      <c r="F151" s="12">
        <v>9</v>
      </c>
      <c r="G151" s="12">
        <v>29</v>
      </c>
      <c r="H151" s="12">
        <v>17</v>
      </c>
      <c r="I151" s="12">
        <v>5</v>
      </c>
      <c r="J151" s="13" t="s">
        <v>185</v>
      </c>
      <c r="K151" s="14">
        <v>120</v>
      </c>
      <c r="L151" s="13"/>
      <c r="P151" t="s">
        <v>128</v>
      </c>
      <c r="Q151">
        <v>17</v>
      </c>
    </row>
    <row r="152" spans="1:17" x14ac:dyDescent="0.3">
      <c r="A152" s="12" t="s">
        <v>60</v>
      </c>
      <c r="B152" s="12">
        <v>6</v>
      </c>
      <c r="C152" s="12">
        <v>2</v>
      </c>
      <c r="D152" s="12">
        <v>4</v>
      </c>
      <c r="E152" s="12">
        <v>1</v>
      </c>
      <c r="F152" s="12">
        <v>3</v>
      </c>
      <c r="G152" s="12">
        <v>10</v>
      </c>
      <c r="H152" s="12">
        <v>8</v>
      </c>
      <c r="I152" s="12">
        <v>4</v>
      </c>
      <c r="J152" s="13" t="s">
        <v>192</v>
      </c>
      <c r="K152" s="14">
        <v>150</v>
      </c>
      <c r="L152" s="13"/>
      <c r="P152" t="s">
        <v>127</v>
      </c>
      <c r="Q152">
        <v>10</v>
      </c>
    </row>
    <row r="153" spans="1:17" x14ac:dyDescent="0.3">
      <c r="A153" s="12" t="s">
        <v>84</v>
      </c>
      <c r="B153" s="12">
        <v>12</v>
      </c>
      <c r="C153" s="12">
        <v>8</v>
      </c>
      <c r="D153" s="12">
        <v>4</v>
      </c>
      <c r="E153" s="12">
        <v>1</v>
      </c>
      <c r="F153" s="12">
        <v>3</v>
      </c>
      <c r="G153" s="12">
        <v>12</v>
      </c>
      <c r="H153" s="12">
        <v>4</v>
      </c>
      <c r="I153" s="12">
        <v>0</v>
      </c>
      <c r="J153" s="13"/>
      <c r="K153" s="14"/>
      <c r="L153" s="13"/>
      <c r="P153" t="s">
        <v>35</v>
      </c>
      <c r="Q153">
        <v>15</v>
      </c>
    </row>
    <row r="154" spans="1:17" x14ac:dyDescent="0.3">
      <c r="A154" s="12" t="s">
        <v>28</v>
      </c>
      <c r="B154" s="12">
        <v>12</v>
      </c>
      <c r="C154" s="12">
        <v>8</v>
      </c>
      <c r="D154" s="12">
        <v>4</v>
      </c>
      <c r="E154" s="12">
        <v>1</v>
      </c>
      <c r="F154" s="12">
        <v>3</v>
      </c>
      <c r="G154" s="12">
        <v>12</v>
      </c>
      <c r="H154" s="12">
        <v>4</v>
      </c>
      <c r="I154" s="12">
        <v>0</v>
      </c>
      <c r="J154" s="13"/>
      <c r="K154" s="14"/>
      <c r="L154" s="13"/>
      <c r="P154" t="s">
        <v>94</v>
      </c>
      <c r="Q154">
        <v>52</v>
      </c>
    </row>
    <row r="155" spans="1:17" x14ac:dyDescent="0.3">
      <c r="A155" s="12" t="s">
        <v>37</v>
      </c>
      <c r="B155" s="12">
        <v>8</v>
      </c>
      <c r="C155" s="12">
        <v>4</v>
      </c>
      <c r="D155" s="12">
        <v>4</v>
      </c>
      <c r="E155" s="12">
        <v>1</v>
      </c>
      <c r="F155" s="12">
        <v>3</v>
      </c>
      <c r="G155" s="12">
        <v>10</v>
      </c>
      <c r="H155" s="12">
        <v>6</v>
      </c>
      <c r="I155" s="12">
        <v>2</v>
      </c>
      <c r="J155" s="13" t="s">
        <v>187</v>
      </c>
      <c r="K155" s="14">
        <v>30</v>
      </c>
      <c r="L155" s="13"/>
      <c r="P155" t="s">
        <v>130</v>
      </c>
      <c r="Q155">
        <v>45</v>
      </c>
    </row>
    <row r="156" spans="1:17" x14ac:dyDescent="0.3">
      <c r="A156" s="12" t="s">
        <v>119</v>
      </c>
      <c r="B156" s="12">
        <v>20</v>
      </c>
      <c r="C156" s="12">
        <v>8</v>
      </c>
      <c r="D156" s="12">
        <v>12</v>
      </c>
      <c r="E156" s="12">
        <v>3</v>
      </c>
      <c r="F156" s="12">
        <v>9</v>
      </c>
      <c r="G156" s="12">
        <v>29</v>
      </c>
      <c r="H156" s="12">
        <v>21</v>
      </c>
      <c r="I156" s="12">
        <v>9</v>
      </c>
      <c r="J156" s="13" t="s">
        <v>195</v>
      </c>
      <c r="K156" s="14">
        <v>162</v>
      </c>
      <c r="L156" s="13"/>
      <c r="P156" t="s">
        <v>129</v>
      </c>
      <c r="Q156">
        <v>38</v>
      </c>
    </row>
    <row r="157" spans="1:17" x14ac:dyDescent="0.3">
      <c r="A157" s="12" t="s">
        <v>121</v>
      </c>
      <c r="B157" s="12">
        <v>15</v>
      </c>
      <c r="C157" s="12">
        <v>5</v>
      </c>
      <c r="D157" s="12">
        <v>10</v>
      </c>
      <c r="E157" s="12">
        <v>2</v>
      </c>
      <c r="F157" s="12">
        <v>8</v>
      </c>
      <c r="G157" s="12">
        <v>24</v>
      </c>
      <c r="H157" s="12">
        <v>19</v>
      </c>
      <c r="I157" s="12">
        <v>9</v>
      </c>
      <c r="J157" s="13" t="s">
        <v>195</v>
      </c>
      <c r="K157" s="14">
        <v>162</v>
      </c>
      <c r="L157" s="13"/>
      <c r="P157" t="s">
        <v>131</v>
      </c>
      <c r="Q157">
        <v>15</v>
      </c>
    </row>
    <row r="158" spans="1:17" x14ac:dyDescent="0.3">
      <c r="A158" s="12" t="s">
        <v>120</v>
      </c>
      <c r="B158" s="12">
        <v>12</v>
      </c>
      <c r="C158" s="12">
        <v>6</v>
      </c>
      <c r="D158" s="12">
        <v>6</v>
      </c>
      <c r="E158" s="12">
        <v>2</v>
      </c>
      <c r="F158" s="12">
        <v>4</v>
      </c>
      <c r="G158" s="12">
        <v>15</v>
      </c>
      <c r="H158" s="12">
        <v>9</v>
      </c>
      <c r="I158" s="12">
        <v>3</v>
      </c>
      <c r="J158" s="13" t="s">
        <v>191</v>
      </c>
      <c r="K158" s="14">
        <v>54</v>
      </c>
      <c r="L158" s="13"/>
      <c r="P158" t="s">
        <v>95</v>
      </c>
      <c r="Q158">
        <v>52</v>
      </c>
    </row>
    <row r="159" spans="1:17" x14ac:dyDescent="0.3">
      <c r="A159" s="12" t="s">
        <v>118</v>
      </c>
      <c r="B159" s="12">
        <v>20</v>
      </c>
      <c r="C159" s="12">
        <v>6</v>
      </c>
      <c r="D159" s="12">
        <v>14</v>
      </c>
      <c r="E159" s="12">
        <v>4</v>
      </c>
      <c r="F159" s="12">
        <v>10</v>
      </c>
      <c r="G159" s="12">
        <v>34</v>
      </c>
      <c r="H159" s="12">
        <v>28</v>
      </c>
      <c r="I159" s="12">
        <v>14</v>
      </c>
      <c r="J159" s="13" t="s">
        <v>203</v>
      </c>
      <c r="K159" s="14">
        <v>294</v>
      </c>
      <c r="L159" s="13"/>
      <c r="P159" t="s">
        <v>149</v>
      </c>
      <c r="Q159">
        <v>17</v>
      </c>
    </row>
    <row r="160" spans="1:17" ht="15" thickBot="1" x14ac:dyDescent="0.35">
      <c r="A160" s="12" t="s">
        <v>117</v>
      </c>
      <c r="B160" s="12">
        <v>150</v>
      </c>
      <c r="C160" s="12">
        <v>45</v>
      </c>
      <c r="D160" s="12">
        <v>105</v>
      </c>
      <c r="E160" s="12">
        <v>26</v>
      </c>
      <c r="F160" s="12">
        <v>79</v>
      </c>
      <c r="G160" s="12">
        <v>249</v>
      </c>
      <c r="H160" s="12">
        <v>204</v>
      </c>
      <c r="I160" s="12">
        <v>99</v>
      </c>
      <c r="J160" s="13" t="s">
        <v>202</v>
      </c>
      <c r="K160" s="14">
        <v>2376</v>
      </c>
      <c r="L160" s="13"/>
      <c r="P160" t="s">
        <v>151</v>
      </c>
      <c r="Q160">
        <v>26</v>
      </c>
    </row>
    <row r="161" spans="1:17" ht="15" thickTop="1" x14ac:dyDescent="0.3">
      <c r="A161" s="15" t="s">
        <v>214</v>
      </c>
      <c r="B161" s="15"/>
      <c r="C161" s="15"/>
      <c r="D161" s="15"/>
      <c r="E161" s="15"/>
      <c r="F161" s="15"/>
      <c r="G161" s="15"/>
      <c r="H161" s="15"/>
      <c r="I161" s="15"/>
      <c r="J161" s="16"/>
      <c r="K161" s="17">
        <f>SUM(K140:K160)</f>
        <v>5596</v>
      </c>
      <c r="L161" s="13"/>
      <c r="P161" t="s">
        <v>150</v>
      </c>
      <c r="Q161">
        <v>12</v>
      </c>
    </row>
    <row r="162" spans="1:17" x14ac:dyDescent="0.3">
      <c r="A162" s="12"/>
      <c r="B162" s="12"/>
      <c r="C162" s="12"/>
      <c r="D162" s="12"/>
      <c r="E162" s="12"/>
      <c r="F162" s="12"/>
      <c r="G162" s="12"/>
      <c r="H162" s="12"/>
      <c r="I162" s="12"/>
      <c r="J162" s="13"/>
      <c r="K162" s="14"/>
      <c r="L162" s="13"/>
      <c r="P162" t="s">
        <v>148</v>
      </c>
      <c r="Q162">
        <v>17</v>
      </c>
    </row>
    <row r="163" spans="1:17" x14ac:dyDescent="0.3">
      <c r="A163" s="12" t="s">
        <v>157</v>
      </c>
      <c r="B163" s="12">
        <v>24</v>
      </c>
      <c r="C163" s="12">
        <v>15</v>
      </c>
      <c r="D163" s="12">
        <v>9</v>
      </c>
      <c r="E163" s="12">
        <v>2</v>
      </c>
      <c r="F163" s="12">
        <v>7</v>
      </c>
      <c r="G163" s="12">
        <v>24</v>
      </c>
      <c r="H163" s="12">
        <v>9</v>
      </c>
      <c r="I163" s="12">
        <v>0</v>
      </c>
      <c r="J163" s="13"/>
      <c r="K163" s="14"/>
      <c r="L163" s="13"/>
      <c r="P163" t="s">
        <v>161</v>
      </c>
      <c r="Q163">
        <v>15</v>
      </c>
    </row>
    <row r="164" spans="1:17" x14ac:dyDescent="0.3">
      <c r="A164" s="12" t="s">
        <v>156</v>
      </c>
      <c r="B164" s="12">
        <v>48</v>
      </c>
      <c r="C164" s="12">
        <v>24</v>
      </c>
      <c r="D164" s="12">
        <v>24</v>
      </c>
      <c r="E164" s="12">
        <v>6</v>
      </c>
      <c r="F164" s="12">
        <v>18</v>
      </c>
      <c r="G164" s="12">
        <v>57</v>
      </c>
      <c r="H164" s="12">
        <v>33</v>
      </c>
      <c r="I164" s="12">
        <v>9</v>
      </c>
      <c r="J164" s="13" t="s">
        <v>185</v>
      </c>
      <c r="K164" s="14">
        <v>230</v>
      </c>
      <c r="L164" s="13"/>
      <c r="P164" t="s">
        <v>154</v>
      </c>
      <c r="Q164">
        <v>24</v>
      </c>
    </row>
    <row r="165" spans="1:17" x14ac:dyDescent="0.3">
      <c r="A165" s="12" t="s">
        <v>158</v>
      </c>
      <c r="B165" s="12">
        <v>24</v>
      </c>
      <c r="C165" s="12">
        <v>12</v>
      </c>
      <c r="D165" s="12">
        <v>12</v>
      </c>
      <c r="E165" s="12">
        <v>3</v>
      </c>
      <c r="F165" s="12">
        <v>9</v>
      </c>
      <c r="G165" s="12">
        <v>29</v>
      </c>
      <c r="H165" s="12">
        <v>17</v>
      </c>
      <c r="I165" s="12">
        <v>5</v>
      </c>
      <c r="J165" s="13" t="s">
        <v>185</v>
      </c>
      <c r="K165" s="14">
        <v>180</v>
      </c>
      <c r="L165" s="13"/>
      <c r="P165" t="s">
        <v>152</v>
      </c>
      <c r="Q165">
        <v>19</v>
      </c>
    </row>
    <row r="166" spans="1:17" x14ac:dyDescent="0.3">
      <c r="A166" s="12" t="s">
        <v>155</v>
      </c>
      <c r="B166" s="12">
        <v>60</v>
      </c>
      <c r="C166" s="12">
        <v>30</v>
      </c>
      <c r="D166" s="12">
        <v>30</v>
      </c>
      <c r="E166" s="12">
        <v>8</v>
      </c>
      <c r="F166" s="12">
        <v>22</v>
      </c>
      <c r="G166" s="12">
        <v>71</v>
      </c>
      <c r="H166" s="12">
        <v>41</v>
      </c>
      <c r="I166" s="12">
        <v>11</v>
      </c>
      <c r="J166" s="13" t="s">
        <v>185</v>
      </c>
      <c r="K166" s="14">
        <v>340</v>
      </c>
      <c r="L166" s="13"/>
      <c r="P166" t="s">
        <v>153</v>
      </c>
      <c r="Q166">
        <v>43</v>
      </c>
    </row>
    <row r="167" spans="1:17" x14ac:dyDescent="0.3">
      <c r="A167" s="12" t="s">
        <v>79</v>
      </c>
      <c r="B167" s="12">
        <v>24</v>
      </c>
      <c r="C167" s="12">
        <v>12</v>
      </c>
      <c r="D167" s="12">
        <v>12</v>
      </c>
      <c r="E167" s="12">
        <v>3</v>
      </c>
      <c r="F167" s="12">
        <v>9</v>
      </c>
      <c r="G167" s="12">
        <v>29</v>
      </c>
      <c r="H167" s="12">
        <v>17</v>
      </c>
      <c r="I167" s="12">
        <v>5</v>
      </c>
      <c r="J167" s="13" t="s">
        <v>185</v>
      </c>
      <c r="K167" s="14">
        <v>90</v>
      </c>
      <c r="L167" s="13"/>
      <c r="P167" t="s">
        <v>102</v>
      </c>
      <c r="Q167">
        <v>29</v>
      </c>
    </row>
    <row r="168" spans="1:17" x14ac:dyDescent="0.3">
      <c r="A168" s="12" t="s">
        <v>77</v>
      </c>
      <c r="B168" s="12">
        <v>32</v>
      </c>
      <c r="C168" s="12">
        <v>15</v>
      </c>
      <c r="D168" s="12">
        <v>17</v>
      </c>
      <c r="E168" s="12">
        <v>4</v>
      </c>
      <c r="F168" s="12">
        <v>13</v>
      </c>
      <c r="G168" s="12">
        <v>41</v>
      </c>
      <c r="H168" s="12">
        <v>26</v>
      </c>
      <c r="I168" s="12">
        <v>9</v>
      </c>
      <c r="J168" s="13" t="s">
        <v>196</v>
      </c>
      <c r="K168" s="14">
        <v>35</v>
      </c>
      <c r="L168" s="13"/>
      <c r="P168" t="s">
        <v>60</v>
      </c>
      <c r="Q168">
        <v>10</v>
      </c>
    </row>
    <row r="169" spans="1:17" x14ac:dyDescent="0.3">
      <c r="A169" s="12" t="s">
        <v>52</v>
      </c>
      <c r="B169" s="12">
        <v>6</v>
      </c>
      <c r="C169" s="12">
        <v>3</v>
      </c>
      <c r="D169" s="12">
        <v>3</v>
      </c>
      <c r="E169" s="12">
        <v>1</v>
      </c>
      <c r="F169" s="12">
        <v>2</v>
      </c>
      <c r="G169" s="12">
        <v>8</v>
      </c>
      <c r="H169" s="12">
        <v>5</v>
      </c>
      <c r="I169" s="12">
        <v>2</v>
      </c>
      <c r="J169" s="13" t="s">
        <v>187</v>
      </c>
      <c r="K169" s="14">
        <v>60</v>
      </c>
      <c r="L169" s="13"/>
      <c r="P169" t="s">
        <v>84</v>
      </c>
      <c r="Q169">
        <v>12</v>
      </c>
    </row>
    <row r="170" spans="1:17" x14ac:dyDescent="0.3">
      <c r="A170" s="12" t="s">
        <v>63</v>
      </c>
      <c r="B170" s="12">
        <v>12</v>
      </c>
      <c r="C170" s="12">
        <v>6</v>
      </c>
      <c r="D170" s="12">
        <v>6</v>
      </c>
      <c r="E170" s="12">
        <v>2</v>
      </c>
      <c r="F170" s="12">
        <v>4</v>
      </c>
      <c r="G170" s="12">
        <v>15</v>
      </c>
      <c r="H170" s="12">
        <v>9</v>
      </c>
      <c r="I170" s="12">
        <v>3</v>
      </c>
      <c r="J170" s="13" t="s">
        <v>191</v>
      </c>
      <c r="K170" s="14">
        <v>36</v>
      </c>
      <c r="L170" s="13"/>
      <c r="P170" t="s">
        <v>28</v>
      </c>
      <c r="Q170">
        <v>12</v>
      </c>
    </row>
    <row r="171" spans="1:17" x14ac:dyDescent="0.3">
      <c r="A171" s="12" t="s">
        <v>100</v>
      </c>
      <c r="B171" s="12">
        <v>24</v>
      </c>
      <c r="C171" s="12">
        <v>8</v>
      </c>
      <c r="D171" s="12">
        <v>16</v>
      </c>
      <c r="E171" s="12">
        <v>4</v>
      </c>
      <c r="F171" s="12">
        <v>12</v>
      </c>
      <c r="G171" s="12">
        <v>38</v>
      </c>
      <c r="H171" s="12">
        <v>30</v>
      </c>
      <c r="I171" s="12">
        <v>14</v>
      </c>
      <c r="J171" s="13" t="s">
        <v>185</v>
      </c>
      <c r="K171" s="14">
        <v>240</v>
      </c>
      <c r="L171" s="13"/>
      <c r="P171" t="s">
        <v>37</v>
      </c>
      <c r="Q171">
        <v>10</v>
      </c>
    </row>
    <row r="172" spans="1:17" x14ac:dyDescent="0.3">
      <c r="A172" s="12" t="s">
        <v>133</v>
      </c>
      <c r="B172" s="12">
        <v>24</v>
      </c>
      <c r="C172" s="12">
        <v>12</v>
      </c>
      <c r="D172" s="12">
        <v>12</v>
      </c>
      <c r="E172" s="12">
        <v>3</v>
      </c>
      <c r="F172" s="12">
        <v>9</v>
      </c>
      <c r="G172" s="12">
        <v>29</v>
      </c>
      <c r="H172" s="12">
        <v>17</v>
      </c>
      <c r="I172" s="12">
        <v>5</v>
      </c>
      <c r="J172" s="13" t="s">
        <v>185</v>
      </c>
      <c r="K172" s="14">
        <v>200</v>
      </c>
      <c r="L172" s="13"/>
      <c r="P172" t="s">
        <v>119</v>
      </c>
      <c r="Q172">
        <v>29</v>
      </c>
    </row>
    <row r="173" spans="1:17" x14ac:dyDescent="0.3">
      <c r="A173" s="12" t="s">
        <v>135</v>
      </c>
      <c r="B173" s="12">
        <v>12</v>
      </c>
      <c r="C173" s="12">
        <v>6</v>
      </c>
      <c r="D173" s="12">
        <v>6</v>
      </c>
      <c r="E173" s="12">
        <v>2</v>
      </c>
      <c r="F173" s="12">
        <v>4</v>
      </c>
      <c r="G173" s="12">
        <v>15</v>
      </c>
      <c r="H173" s="12">
        <v>9</v>
      </c>
      <c r="I173" s="12">
        <v>3</v>
      </c>
      <c r="J173" s="13" t="s">
        <v>196</v>
      </c>
      <c r="K173" s="14">
        <v>320</v>
      </c>
      <c r="L173" s="13"/>
      <c r="P173" t="s">
        <v>121</v>
      </c>
      <c r="Q173">
        <v>24</v>
      </c>
    </row>
    <row r="174" spans="1:17" x14ac:dyDescent="0.3">
      <c r="A174" s="12" t="s">
        <v>134</v>
      </c>
      <c r="B174" s="12">
        <v>12</v>
      </c>
      <c r="C174" s="12">
        <v>6</v>
      </c>
      <c r="D174" s="12">
        <v>6</v>
      </c>
      <c r="E174" s="12">
        <v>2</v>
      </c>
      <c r="F174" s="12">
        <v>4</v>
      </c>
      <c r="G174" s="12">
        <v>15</v>
      </c>
      <c r="H174" s="12">
        <v>9</v>
      </c>
      <c r="I174" s="12">
        <v>3</v>
      </c>
      <c r="J174" s="13" t="s">
        <v>196</v>
      </c>
      <c r="K174" s="14">
        <v>280</v>
      </c>
      <c r="L174" s="13"/>
      <c r="P174" t="s">
        <v>120</v>
      </c>
      <c r="Q174">
        <v>15</v>
      </c>
    </row>
    <row r="175" spans="1:17" x14ac:dyDescent="0.3">
      <c r="A175" s="12" t="s">
        <v>179</v>
      </c>
      <c r="B175" s="12">
        <v>12</v>
      </c>
      <c r="C175" s="12">
        <v>8</v>
      </c>
      <c r="D175" s="12">
        <v>4</v>
      </c>
      <c r="E175" s="12">
        <v>1</v>
      </c>
      <c r="F175" s="12">
        <v>3</v>
      </c>
      <c r="G175" s="12">
        <v>12</v>
      </c>
      <c r="H175" s="12">
        <v>4</v>
      </c>
      <c r="I175" s="12">
        <v>0</v>
      </c>
      <c r="J175" s="13"/>
      <c r="K175" s="14"/>
      <c r="L175" s="13"/>
      <c r="P175" t="s">
        <v>118</v>
      </c>
      <c r="Q175">
        <v>34</v>
      </c>
    </row>
    <row r="176" spans="1:17" x14ac:dyDescent="0.3">
      <c r="A176" s="12" t="s">
        <v>27</v>
      </c>
      <c r="B176" s="12">
        <v>12</v>
      </c>
      <c r="C176" s="12">
        <v>8</v>
      </c>
      <c r="D176" s="12">
        <v>4</v>
      </c>
      <c r="E176" s="12">
        <v>1</v>
      </c>
      <c r="F176" s="12">
        <v>3</v>
      </c>
      <c r="G176" s="12">
        <v>12</v>
      </c>
      <c r="H176" s="12">
        <v>4</v>
      </c>
      <c r="I176" s="12">
        <v>0</v>
      </c>
      <c r="J176" s="13"/>
      <c r="K176" s="14"/>
      <c r="L176" s="13"/>
      <c r="P176" t="s">
        <v>117</v>
      </c>
      <c r="Q176">
        <v>249</v>
      </c>
    </row>
    <row r="177" spans="1:17" x14ac:dyDescent="0.3">
      <c r="A177" s="12" t="s">
        <v>165</v>
      </c>
      <c r="B177" s="12">
        <v>60</v>
      </c>
      <c r="C177" s="12">
        <v>25</v>
      </c>
      <c r="D177" s="12">
        <v>35</v>
      </c>
      <c r="E177" s="12">
        <v>9</v>
      </c>
      <c r="F177" s="12">
        <v>26</v>
      </c>
      <c r="G177" s="12">
        <v>83</v>
      </c>
      <c r="H177" s="12">
        <v>58</v>
      </c>
      <c r="I177" s="12">
        <v>23</v>
      </c>
      <c r="J177" s="13" t="s">
        <v>208</v>
      </c>
      <c r="K177" s="14">
        <v>300</v>
      </c>
      <c r="L177" s="13"/>
      <c r="P177" t="s">
        <v>157</v>
      </c>
      <c r="Q177">
        <v>24</v>
      </c>
    </row>
    <row r="178" spans="1:17" x14ac:dyDescent="0.3">
      <c r="A178" s="12" t="s">
        <v>174</v>
      </c>
      <c r="B178" s="12">
        <v>24</v>
      </c>
      <c r="C178" s="12">
        <v>12</v>
      </c>
      <c r="D178" s="12">
        <v>12</v>
      </c>
      <c r="E178" s="12">
        <v>3</v>
      </c>
      <c r="F178" s="12">
        <v>9</v>
      </c>
      <c r="G178" s="12">
        <v>29</v>
      </c>
      <c r="H178" s="12">
        <v>17</v>
      </c>
      <c r="I178" s="12">
        <v>5</v>
      </c>
      <c r="J178" s="13" t="s">
        <v>211</v>
      </c>
      <c r="K178" s="14">
        <v>120</v>
      </c>
      <c r="L178" s="13"/>
      <c r="P178" t="s">
        <v>156</v>
      </c>
      <c r="Q178">
        <v>57</v>
      </c>
    </row>
    <row r="179" spans="1:17" x14ac:dyDescent="0.3">
      <c r="A179" s="12" t="s">
        <v>48</v>
      </c>
      <c r="B179" s="12">
        <v>6</v>
      </c>
      <c r="C179" s="12">
        <v>3</v>
      </c>
      <c r="D179" s="12">
        <v>3</v>
      </c>
      <c r="E179" s="12">
        <v>1</v>
      </c>
      <c r="F179" s="12">
        <v>2</v>
      </c>
      <c r="G179" s="12">
        <v>8</v>
      </c>
      <c r="H179" s="12">
        <v>5</v>
      </c>
      <c r="I179" s="12">
        <v>2</v>
      </c>
      <c r="J179" s="13" t="s">
        <v>187</v>
      </c>
      <c r="K179" s="14">
        <v>32</v>
      </c>
      <c r="L179" s="13"/>
      <c r="P179" t="s">
        <v>158</v>
      </c>
      <c r="Q179">
        <v>29</v>
      </c>
    </row>
    <row r="180" spans="1:17" x14ac:dyDescent="0.3">
      <c r="A180" s="12" t="s">
        <v>69</v>
      </c>
      <c r="B180" s="12">
        <v>12</v>
      </c>
      <c r="C180" s="12">
        <v>4</v>
      </c>
      <c r="D180" s="12">
        <v>8</v>
      </c>
      <c r="E180" s="12">
        <v>2</v>
      </c>
      <c r="F180" s="12">
        <v>6</v>
      </c>
      <c r="G180" s="12">
        <v>19</v>
      </c>
      <c r="H180" s="12">
        <v>15</v>
      </c>
      <c r="I180" s="12">
        <v>7</v>
      </c>
      <c r="J180" s="13" t="s">
        <v>189</v>
      </c>
      <c r="K180" s="14">
        <v>49</v>
      </c>
      <c r="L180" s="13"/>
      <c r="P180" t="s">
        <v>155</v>
      </c>
      <c r="Q180">
        <v>71</v>
      </c>
    </row>
    <row r="181" spans="1:17" x14ac:dyDescent="0.3">
      <c r="A181" s="12" t="s">
        <v>61</v>
      </c>
      <c r="B181" s="12">
        <v>12</v>
      </c>
      <c r="C181" s="12">
        <v>6</v>
      </c>
      <c r="D181" s="12">
        <v>6</v>
      </c>
      <c r="E181" s="12">
        <v>2</v>
      </c>
      <c r="F181" s="12">
        <v>4</v>
      </c>
      <c r="G181" s="12">
        <v>15</v>
      </c>
      <c r="H181" s="12">
        <v>9</v>
      </c>
      <c r="I181" s="12">
        <v>3</v>
      </c>
      <c r="J181" s="13" t="s">
        <v>184</v>
      </c>
      <c r="K181" s="14">
        <v>100</v>
      </c>
      <c r="L181" s="13"/>
      <c r="P181" t="s">
        <v>79</v>
      </c>
      <c r="Q181">
        <v>29</v>
      </c>
    </row>
    <row r="182" spans="1:17" x14ac:dyDescent="0.3">
      <c r="A182" s="12" t="s">
        <v>66</v>
      </c>
      <c r="B182" s="12">
        <v>12</v>
      </c>
      <c r="C182" s="12">
        <v>4</v>
      </c>
      <c r="D182" s="12">
        <v>8</v>
      </c>
      <c r="E182" s="12">
        <v>2</v>
      </c>
      <c r="F182" s="12">
        <v>6</v>
      </c>
      <c r="G182" s="12">
        <v>19</v>
      </c>
      <c r="H182" s="12">
        <v>15</v>
      </c>
      <c r="I182" s="12">
        <v>7</v>
      </c>
      <c r="J182" s="13" t="s">
        <v>184</v>
      </c>
      <c r="K182" s="14">
        <v>65</v>
      </c>
      <c r="L182" s="13"/>
      <c r="P182" t="s">
        <v>77</v>
      </c>
      <c r="Q182">
        <v>41</v>
      </c>
    </row>
    <row r="183" spans="1:17" x14ac:dyDescent="0.3">
      <c r="A183" s="12" t="s">
        <v>41</v>
      </c>
      <c r="B183" s="12">
        <v>8</v>
      </c>
      <c r="C183" s="12">
        <v>2</v>
      </c>
      <c r="D183" s="12">
        <v>6</v>
      </c>
      <c r="E183" s="12">
        <v>2</v>
      </c>
      <c r="F183" s="12">
        <v>4</v>
      </c>
      <c r="G183" s="12">
        <v>15</v>
      </c>
      <c r="H183" s="12">
        <v>13</v>
      </c>
      <c r="I183" s="12">
        <v>7</v>
      </c>
      <c r="J183" s="13" t="s">
        <v>189</v>
      </c>
      <c r="K183" s="14">
        <v>210</v>
      </c>
      <c r="L183" s="13"/>
      <c r="P183" t="s">
        <v>52</v>
      </c>
      <c r="Q183">
        <v>8</v>
      </c>
    </row>
    <row r="184" spans="1:17" ht="15" thickBot="1" x14ac:dyDescent="0.35">
      <c r="A184" s="12" t="s">
        <v>89</v>
      </c>
      <c r="B184" s="12">
        <v>12</v>
      </c>
      <c r="C184" s="12">
        <v>6</v>
      </c>
      <c r="D184" s="12">
        <v>6</v>
      </c>
      <c r="E184" s="12">
        <v>2</v>
      </c>
      <c r="F184" s="12">
        <v>4</v>
      </c>
      <c r="G184" s="12">
        <v>15</v>
      </c>
      <c r="H184" s="12">
        <v>9</v>
      </c>
      <c r="I184" s="12">
        <v>3</v>
      </c>
      <c r="J184" s="13" t="s">
        <v>191</v>
      </c>
      <c r="K184" s="14">
        <v>75</v>
      </c>
      <c r="L184" s="13"/>
      <c r="P184" t="s">
        <v>63</v>
      </c>
      <c r="Q184">
        <v>15</v>
      </c>
    </row>
    <row r="185" spans="1:17" ht="15" thickTop="1" x14ac:dyDescent="0.3">
      <c r="A185" s="15" t="s">
        <v>214</v>
      </c>
      <c r="B185" s="15"/>
      <c r="C185" s="15"/>
      <c r="D185" s="15"/>
      <c r="E185" s="15"/>
      <c r="F185" s="15"/>
      <c r="G185" s="15"/>
      <c r="H185" s="15"/>
      <c r="I185" s="15"/>
      <c r="J185" s="16"/>
      <c r="K185" s="17">
        <f>SUM(K164:K184)</f>
        <v>2962</v>
      </c>
      <c r="L185" s="13"/>
      <c r="P185" t="s">
        <v>100</v>
      </c>
      <c r="Q185">
        <v>38</v>
      </c>
    </row>
    <row r="186" spans="1:17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3"/>
      <c r="K186" s="14"/>
      <c r="L186" s="13"/>
      <c r="P186" t="s">
        <v>133</v>
      </c>
      <c r="Q186">
        <v>29</v>
      </c>
    </row>
    <row r="187" spans="1:17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3"/>
      <c r="K187" s="14"/>
      <c r="L187" s="13"/>
      <c r="P187" t="s">
        <v>135</v>
      </c>
      <c r="Q187">
        <v>15</v>
      </c>
    </row>
    <row r="188" spans="1:17" x14ac:dyDescent="0.3">
      <c r="P188" t="s">
        <v>134</v>
      </c>
      <c r="Q188">
        <v>15</v>
      </c>
    </row>
    <row r="189" spans="1:17" x14ac:dyDescent="0.3">
      <c r="P189" t="s">
        <v>179</v>
      </c>
      <c r="Q189">
        <v>12</v>
      </c>
    </row>
    <row r="190" spans="1:17" x14ac:dyDescent="0.3">
      <c r="P190" t="s">
        <v>27</v>
      </c>
      <c r="Q190">
        <v>12</v>
      </c>
    </row>
    <row r="191" spans="1:17" x14ac:dyDescent="0.3">
      <c r="P191" t="s">
        <v>165</v>
      </c>
      <c r="Q191">
        <v>83</v>
      </c>
    </row>
    <row r="192" spans="1:17" x14ac:dyDescent="0.3">
      <c r="P192" t="s">
        <v>174</v>
      </c>
      <c r="Q192">
        <v>29</v>
      </c>
    </row>
    <row r="193" spans="16:17" x14ac:dyDescent="0.3">
      <c r="P193" t="s">
        <v>48</v>
      </c>
      <c r="Q193">
        <v>8</v>
      </c>
    </row>
    <row r="194" spans="16:17" x14ac:dyDescent="0.3">
      <c r="P194" t="s">
        <v>69</v>
      </c>
      <c r="Q194">
        <v>19</v>
      </c>
    </row>
    <row r="195" spans="16:17" x14ac:dyDescent="0.3">
      <c r="P195" t="s">
        <v>61</v>
      </c>
      <c r="Q195">
        <v>15</v>
      </c>
    </row>
    <row r="196" spans="16:17" x14ac:dyDescent="0.3">
      <c r="P196" t="s">
        <v>66</v>
      </c>
      <c r="Q196">
        <v>19</v>
      </c>
    </row>
    <row r="197" spans="16:17" x14ac:dyDescent="0.3">
      <c r="P197" t="s">
        <v>41</v>
      </c>
      <c r="Q197">
        <v>15</v>
      </c>
    </row>
    <row r="198" spans="16:17" x14ac:dyDescent="0.3">
      <c r="P198" t="s">
        <v>89</v>
      </c>
      <c r="Q198">
        <v>15</v>
      </c>
    </row>
  </sheetData>
  <sortState xmlns:xlrd2="http://schemas.microsoft.com/office/spreadsheetml/2017/richdata2" ref="A2:K184">
    <sortCondition ref="A2:A184"/>
  </sortState>
  <mergeCells count="1">
    <mergeCell ref="A23:J2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048dc87-43f0-4100-9acb-ae1971c79395}" enabled="0" method="" siteId="{3048dc87-43f0-4100-9acb-ae1971c79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NTT 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Lecona Cruz</dc:creator>
  <cp:lastModifiedBy>Carlos Lecona Cruz</cp:lastModifiedBy>
  <dcterms:created xsi:type="dcterms:W3CDTF">2026-06-05T19:58:29Z</dcterms:created>
  <dcterms:modified xsi:type="dcterms:W3CDTF">2026-08-11T03:01:28Z</dcterms:modified>
</cp:coreProperties>
</file>